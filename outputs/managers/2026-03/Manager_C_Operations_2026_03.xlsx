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&amp; KPI" sheetId="1" state="visible" r:id="rId1"/>
    <sheet name="Chi Tiết Nhân S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₫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475569"/>
      <sz val="8"/>
    </font>
    <font>
      <name val="Segoe UI"/>
      <b val="1"/>
      <color rgb="001B365D"/>
      <sz val="12"/>
    </font>
    <font>
      <name val="Segoe UI"/>
      <b val="1"/>
      <color rgb="001B365D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color rgb="001B365D"/>
      <sz val="9"/>
    </font>
    <font>
      <name val="Segoe UI"/>
      <b val="1"/>
      <color rgb="00991B1B"/>
      <sz val="11"/>
    </font>
    <font>
      <name val="Segoe UI"/>
      <color rgb="00166534"/>
      <sz val="9"/>
    </font>
    <font>
      <name val="Segoe UI"/>
      <color rgb="00991B1B"/>
      <sz val="9"/>
    </font>
    <font>
      <name val="Segoe UI"/>
      <color rgb="000F172A"/>
      <sz val="9"/>
    </font>
    <font>
      <name val="Segoe UI"/>
      <b val="1"/>
      <color rgb="00FFFFFF"/>
      <sz val="10"/>
    </font>
    <font>
      <name val="Segoe UI"/>
      <b val="1"/>
      <color rgb="00166534"/>
      <sz val="9"/>
    </font>
    <font>
      <name val="Segoe UI"/>
      <b val="1"/>
      <color rgb="00991B1B"/>
      <sz val="9"/>
    </font>
    <font>
      <name val="Segoe UI"/>
      <b val="1"/>
      <color rgb="001B365D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6CB0"/>
        <bgColor rgb="002B6CB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3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left" vertical="center"/>
    </xf>
    <xf numFmtId="3" fontId="7" fillId="5" borderId="4" applyAlignment="1" pivotButton="0" quotePrefix="0" xfId="0">
      <alignment horizontal="right" vertical="center"/>
    </xf>
    <xf numFmtId="164" fontId="7" fillId="5" borderId="4" applyAlignment="1" pivotButton="0" quotePrefix="0" xfId="0">
      <alignment horizontal="right" vertical="center"/>
    </xf>
    <xf numFmtId="0" fontId="7" fillId="4" borderId="4" applyAlignment="1" pivotButton="0" quotePrefix="0" xfId="0">
      <alignment horizontal="left" vertical="center"/>
    </xf>
    <xf numFmtId="3" fontId="7" fillId="4" borderId="4" applyAlignment="1" pivotButton="0" quotePrefix="0" xfId="0">
      <alignment horizontal="right" vertical="center"/>
    </xf>
    <xf numFmtId="164" fontId="7" fillId="4" borderId="4" applyAlignment="1" pivotButton="0" quotePrefix="0" xfId="0">
      <alignment horizontal="right" vertical="center"/>
    </xf>
    <xf numFmtId="0" fontId="8" fillId="6" borderId="5" applyAlignment="1" pivotButton="0" quotePrefix="0" xfId="0">
      <alignment horizontal="left" vertical="center"/>
    </xf>
    <xf numFmtId="3" fontId="8" fillId="6" borderId="5" applyAlignment="1" pivotButton="0" quotePrefix="0" xfId="0">
      <alignment horizontal="right" vertical="center"/>
    </xf>
    <xf numFmtId="164" fontId="8" fillId="6" borderId="5" applyAlignment="1" pivotButton="0" quotePrefix="0" xfId="0">
      <alignment horizontal="right" vertical="center"/>
    </xf>
    <xf numFmtId="0" fontId="9" fillId="0" borderId="0" pivotButton="0" quotePrefix="0" xfId="0"/>
    <xf numFmtId="0" fontId="6" fillId="3" borderId="3" applyAlignment="1" pivotButton="0" quotePrefix="0" xfId="0">
      <alignment horizontal="center" vertical="center"/>
    </xf>
    <xf numFmtId="0" fontId="10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/>
    </xf>
    <xf numFmtId="164" fontId="10" fillId="7" borderId="4" applyAlignment="1" pivotButton="0" quotePrefix="0" xfId="0">
      <alignment horizontal="right" vertical="center"/>
    </xf>
    <xf numFmtId="0" fontId="11" fillId="8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left" vertical="center"/>
    </xf>
    <xf numFmtId="164" fontId="11" fillId="8" borderId="4" applyAlignment="1" pivotButton="0" quotePrefix="0" xfId="0">
      <alignment horizontal="right" vertical="center"/>
    </xf>
    <xf numFmtId="0" fontId="12" fillId="4" borderId="4" applyAlignment="1" pivotButton="0" quotePrefix="0" xfId="0">
      <alignment horizontal="center" vertical="center"/>
    </xf>
    <xf numFmtId="0" fontId="12" fillId="4" borderId="4" applyAlignment="1" pivotButton="0" quotePrefix="0" xfId="0">
      <alignment horizontal="left" vertical="center"/>
    </xf>
    <xf numFmtId="164" fontId="12" fillId="4" borderId="4" applyAlignment="1" pivotButton="0" quotePrefix="0" xfId="0">
      <alignment horizontal="right" vertical="center"/>
    </xf>
    <xf numFmtId="0" fontId="13" fillId="2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164" fontId="14" fillId="7" borderId="4" applyAlignment="1" pivotButton="0" quotePrefix="0" xfId="0">
      <alignment horizontal="right" vertical="center"/>
    </xf>
    <xf numFmtId="164" fontId="15" fillId="8" borderId="4" applyAlignment="1" pivotButton="0" quotePrefix="0" xfId="0">
      <alignment horizontal="right" vertical="center"/>
    </xf>
    <xf numFmtId="0" fontId="16" fillId="6" borderId="5" pivotButton="0" quotePrefix="0" xfId="0"/>
    <xf numFmtId="0" fontId="16" fillId="6" borderId="5" applyAlignment="1" pivotButton="0" quotePrefix="0" xfId="0">
      <alignment horizontal="center" vertical="center"/>
    </xf>
    <xf numFmtId="164" fontId="16" fillId="6" borderId="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40" customWidth="1" min="4" max="4"/>
    <col width="40" customWidth="1" min="5" max="5"/>
    <col width="23" customWidth="1" min="6" max="6"/>
    <col width="36" customWidth="1" min="7" max="7"/>
  </cols>
  <sheetData>
    <row r="1" ht="36" customHeight="1">
      <c r="A1" s="1" t="inlineStr">
        <is>
          <t>BÁO CÁO VẬN HÀNH &amp; LƯƠNG THƯỞNG — MANAGER C</t>
        </is>
      </c>
    </row>
    <row r="2" ht="20" customHeight="1">
      <c r="A2" s="2" t="inlineStr">
        <is>
          <t>Kỳ báo cáo: Tháng 2026-03 | Ngày kết xuất: 09/09/2026 21:51 | Phụ trách: Manager_C</t>
        </is>
      </c>
    </row>
    <row r="3" ht="10" customHeight="1"/>
    <row r="4" ht="20" customHeight="1">
      <c r="A4" s="3" t="inlineStr">
        <is>
          <t>TỔNG NHÂN SỰ</t>
        </is>
      </c>
      <c r="B4" s="3" t="inlineStr">
        <is>
          <t>TỔNG LƯƠNG CƠ BẢN</t>
        </is>
      </c>
      <c r="C4" s="3" t="inlineStr">
        <is>
          <t>TỔNG THƯỞNG</t>
        </is>
      </c>
      <c r="D4" s="3" t="inlineStr">
        <is>
          <t>TỔNG PHẠT</t>
        </is>
      </c>
      <c r="E4" s="3" t="inlineStr">
        <is>
          <t>TỔNG LƯƠNG THỰC NHẬN</t>
        </is>
      </c>
    </row>
    <row r="5" ht="30" customHeight="1">
      <c r="A5" s="4" t="n">
        <v>51</v>
      </c>
      <c r="B5" s="5">
        <f>SUM('Chi Tiết Nhân Sự'!E2:E52)</f>
        <v/>
      </c>
      <c r="C5" s="5">
        <f>SUM('Chi Tiết Nhân Sự'!F2:F52)</f>
        <v/>
      </c>
      <c r="D5" s="5">
        <f>SUM('Chi Tiết Nhân Sự'!G2:G52)</f>
        <v/>
      </c>
      <c r="E5" s="5">
        <f>SUM('Chi Tiết Nhân Sự'!H2:H52)</f>
        <v/>
      </c>
    </row>
    <row r="6" ht="14" customHeight="1"/>
    <row r="7">
      <c r="A7" s="6" t="inlineStr">
        <is>
          <t>I. BẢNG PHÂN BỔ CHI TIẾT THEO PHÒNG BAN QUẢN LÝ</t>
        </is>
      </c>
    </row>
    <row r="8" ht="25" customHeight="1">
      <c r="A8" s="7" t="inlineStr">
        <is>
          <t>Phòng Ban</t>
        </is>
      </c>
      <c r="B8" s="7" t="inlineStr">
        <is>
          <t>Số Nhân Sự</t>
        </is>
      </c>
      <c r="C8" s="7" t="inlineStr">
        <is>
          <t>Tổng Lương Cơ Bản</t>
        </is>
      </c>
      <c r="D8" s="7" t="inlineStr">
        <is>
          <t>Tổng Thưởng</t>
        </is>
      </c>
      <c r="E8" s="7" t="inlineStr">
        <is>
          <t>Tổng Phạt</t>
        </is>
      </c>
      <c r="F8" s="7" t="inlineStr">
        <is>
          <t>Tổng Lương Thực Nhận</t>
        </is>
      </c>
      <c r="G8" s="7" t="inlineStr">
        <is>
          <t>Thực Nhận TB/Người</t>
        </is>
      </c>
    </row>
    <row r="9" ht="20" customHeight="1">
      <c r="A9" s="8" t="inlineStr">
        <is>
          <t>Finance</t>
        </is>
      </c>
      <c r="B9" s="9" t="n">
        <v>8</v>
      </c>
      <c r="C9" s="10" t="n">
        <v>148076564</v>
      </c>
      <c r="D9" s="10" t="n">
        <v>16597139</v>
      </c>
      <c r="E9" s="10" t="n">
        <v>7087041</v>
      </c>
      <c r="F9" s="10" t="n">
        <v>157586662</v>
      </c>
      <c r="G9" s="10" t="n">
        <v>19698332.75</v>
      </c>
    </row>
    <row r="10" ht="20" customHeight="1">
      <c r="A10" s="11" t="inlineStr">
        <is>
          <t>HR</t>
        </is>
      </c>
      <c r="B10" s="12" t="n">
        <v>16</v>
      </c>
      <c r="C10" s="13" t="n">
        <v>303697451</v>
      </c>
      <c r="D10" s="13" t="n">
        <v>43538775</v>
      </c>
      <c r="E10" s="13" t="n">
        <v>18374085</v>
      </c>
      <c r="F10" s="13" t="n">
        <v>328862141</v>
      </c>
      <c r="G10" s="13" t="n">
        <v>20553883.8125</v>
      </c>
    </row>
    <row r="11" ht="20" customHeight="1">
      <c r="A11" s="8" t="inlineStr">
        <is>
          <t>Operations</t>
        </is>
      </c>
      <c r="B11" s="9" t="n">
        <v>12</v>
      </c>
      <c r="C11" s="10" t="n">
        <v>248230318</v>
      </c>
      <c r="D11" s="10" t="n">
        <v>37559680</v>
      </c>
      <c r="E11" s="10" t="n">
        <v>13574538</v>
      </c>
      <c r="F11" s="10" t="n">
        <v>272215460</v>
      </c>
      <c r="G11" s="10" t="n">
        <v>22684621.66666667</v>
      </c>
    </row>
    <row r="12" ht="20" customHeight="1">
      <c r="A12" s="11" t="inlineStr">
        <is>
          <t>Sales</t>
        </is>
      </c>
      <c r="B12" s="12" t="n">
        <v>15</v>
      </c>
      <c r="C12" s="13" t="n">
        <v>310798980</v>
      </c>
      <c r="D12" s="13" t="n">
        <v>32009191</v>
      </c>
      <c r="E12" s="13" t="n">
        <v>15282619</v>
      </c>
      <c r="F12" s="13" t="n">
        <v>327525552</v>
      </c>
      <c r="G12" s="13" t="n">
        <v>21835036.8</v>
      </c>
    </row>
    <row r="13" ht="22" customHeight="1">
      <c r="A13" s="14" t="inlineStr">
        <is>
          <t>TỔNG CỘNG</t>
        </is>
      </c>
      <c r="B13" s="15">
        <f>SUM(B9:B12)</f>
        <v/>
      </c>
      <c r="C13" s="16">
        <f>SUM(C9:C12)</f>
        <v/>
      </c>
      <c r="D13" s="16">
        <f>SUM(D9:D12)</f>
        <v/>
      </c>
      <c r="E13" s="16">
        <f>SUM(E9:E12)</f>
        <v/>
      </c>
      <c r="F13" s="16">
        <f>SUM(F9:F12)</f>
        <v/>
      </c>
      <c r="G13" s="16">
        <f>F13/B13</f>
        <v/>
      </c>
    </row>
    <row r="14"/>
    <row r="15">
      <c r="A15" s="17" t="inlineStr">
        <is>
          <t>II. DANH SÁCH NHÂN SỰ CẦN MANAGER KIỂM TRA &amp; RÀ SOÁT</t>
        </is>
      </c>
    </row>
    <row r="16" ht="24" customHeight="1">
      <c r="A16" s="18" t="inlineStr">
        <is>
          <t>Mã NV</t>
        </is>
      </c>
      <c r="B16" s="18" t="inlineStr">
        <is>
          <t>Họ &amp; Tên</t>
        </is>
      </c>
      <c r="C16" s="18" t="inlineStr">
        <is>
          <t>Phòng Ban</t>
        </is>
      </c>
      <c r="D16" s="18" t="inlineStr">
        <is>
          <t>Thưởng (VND)</t>
        </is>
      </c>
      <c r="E16" s="18" t="inlineStr">
        <is>
          <t>Phạt (VND)</t>
        </is>
      </c>
      <c r="F16" s="18" t="inlineStr">
        <is>
          <t>Lương Thực Nhận</t>
        </is>
      </c>
      <c r="G16" s="18" t="inlineStr">
        <is>
          <t>Nội Dung Lưu Ý &amp; Khuyến Nghị</t>
        </is>
      </c>
    </row>
    <row r="17" ht="20" customHeight="1">
      <c r="A17" s="19" t="inlineStr">
        <is>
          <t>E011</t>
        </is>
      </c>
      <c r="B17" s="20" t="inlineStr">
        <is>
          <t>Employee_11</t>
        </is>
      </c>
      <c r="C17" s="19" t="inlineStr">
        <is>
          <t>HR</t>
        </is>
      </c>
      <c r="D17" s="21" t="n">
        <v>4117788</v>
      </c>
      <c r="E17" s="21" t="n">
        <v>215141</v>
      </c>
      <c r="F17" s="21" t="n">
        <v>33306000</v>
      </c>
      <c r="G17" s="20" t="inlineStr">
        <is>
          <t>Mức thưởng xuất sắc vượt trội</t>
        </is>
      </c>
    </row>
    <row r="18" ht="20" customHeight="1">
      <c r="A18" s="22" t="inlineStr">
        <is>
          <t>E013</t>
        </is>
      </c>
      <c r="B18" s="23" t="inlineStr">
        <is>
          <t>Employee_13</t>
        </is>
      </c>
      <c r="C18" s="22" t="inlineStr">
        <is>
          <t>HR</t>
        </is>
      </c>
      <c r="D18" s="24" t="n">
        <v>2117942</v>
      </c>
      <c r="E18" s="24" t="n">
        <v>1973553</v>
      </c>
      <c r="F18" s="24" t="n">
        <v>9868305</v>
      </c>
      <c r="G18" s="23" t="inlineStr">
        <is>
          <t>Mức phạt vượt trần cảnh báo</t>
        </is>
      </c>
    </row>
    <row r="19" ht="20" customHeight="1">
      <c r="A19" s="22" t="inlineStr">
        <is>
          <t>E023</t>
        </is>
      </c>
      <c r="B19" s="23" t="inlineStr">
        <is>
          <t>Employee_23</t>
        </is>
      </c>
      <c r="C19" s="22" t="inlineStr">
        <is>
          <t>Operations</t>
        </is>
      </c>
      <c r="D19" s="24" t="n">
        <v>1958100</v>
      </c>
      <c r="E19" s="24" t="n">
        <v>1937581</v>
      </c>
      <c r="F19" s="24" t="n">
        <v>10408915</v>
      </c>
      <c r="G19" s="23" t="inlineStr">
        <is>
          <t>Mức phạt vượt trần cảnh báo</t>
        </is>
      </c>
    </row>
    <row r="20" ht="20" customHeight="1">
      <c r="A20" s="25" t="inlineStr">
        <is>
          <t>E027</t>
        </is>
      </c>
      <c r="B20" s="26" t="inlineStr">
        <is>
          <t>Employee_27</t>
        </is>
      </c>
      <c r="C20" s="25" t="inlineStr">
        <is>
          <t>Operations</t>
        </is>
      </c>
      <c r="D20" s="27" t="n">
        <v>3931723</v>
      </c>
      <c r="E20" s="27" t="n">
        <v>1444262</v>
      </c>
      <c r="F20" s="27" t="n">
        <v>14660077</v>
      </c>
      <c r="G20" s="26" t="inlineStr">
        <is>
          <t>Mức phạt vượt trần cảnh báo</t>
        </is>
      </c>
    </row>
    <row r="21" ht="20" customHeight="1">
      <c r="A21" s="19" t="inlineStr">
        <is>
          <t>E028</t>
        </is>
      </c>
      <c r="B21" s="20" t="inlineStr">
        <is>
          <t>Employee_28</t>
        </is>
      </c>
      <c r="C21" s="19" t="inlineStr">
        <is>
          <t>Operations</t>
        </is>
      </c>
      <c r="D21" s="21" t="n">
        <v>4198264</v>
      </c>
      <c r="E21" s="21" t="n">
        <v>1132423</v>
      </c>
      <c r="F21" s="21" t="n">
        <v>20200907</v>
      </c>
      <c r="G21" s="20" t="inlineStr">
        <is>
          <t>Mức thưởng xuất sắc vượt trội</t>
        </is>
      </c>
    </row>
    <row r="22" ht="20" customHeight="1">
      <c r="A22" s="22" t="inlineStr">
        <is>
          <t>E039</t>
        </is>
      </c>
      <c r="B22" s="23" t="inlineStr">
        <is>
          <t>Employee_39</t>
        </is>
      </c>
      <c r="C22" s="22" t="inlineStr">
        <is>
          <t>Sales</t>
        </is>
      </c>
      <c r="D22" s="24" t="n">
        <v>4316746</v>
      </c>
      <c r="E22" s="24" t="n">
        <v>1729997</v>
      </c>
      <c r="F22" s="24" t="n">
        <v>24148613</v>
      </c>
      <c r="G22" s="23" t="inlineStr">
        <is>
          <t>Thưởng và Phạt đều cao bất thường</t>
        </is>
      </c>
    </row>
    <row r="23" ht="20" customHeight="1">
      <c r="A23" s="22" t="inlineStr">
        <is>
          <t>E041</t>
        </is>
      </c>
      <c r="B23" s="23" t="inlineStr">
        <is>
          <t>Employee_41</t>
        </is>
      </c>
      <c r="C23" s="22" t="inlineStr">
        <is>
          <t>Operations</t>
        </is>
      </c>
      <c r="D23" s="24" t="n">
        <v>3708108</v>
      </c>
      <c r="E23" s="24" t="n">
        <v>1593815</v>
      </c>
      <c r="F23" s="24" t="n">
        <v>31099528</v>
      </c>
      <c r="G23" s="23" t="inlineStr">
        <is>
          <t>Mức phạt vượt trần cảnh báo</t>
        </is>
      </c>
    </row>
    <row r="24" ht="20" customHeight="1">
      <c r="A24" s="22" t="inlineStr">
        <is>
          <t>E050</t>
        </is>
      </c>
      <c r="B24" s="23" t="inlineStr">
        <is>
          <t>Employee_50</t>
        </is>
      </c>
      <c r="C24" s="22" t="inlineStr">
        <is>
          <t>Sales</t>
        </is>
      </c>
      <c r="D24" s="24" t="n">
        <v>2504467</v>
      </c>
      <c r="E24" s="24" t="n">
        <v>1756314</v>
      </c>
      <c r="F24" s="24" t="n">
        <v>18238654</v>
      </c>
      <c r="G24" s="23" t="inlineStr">
        <is>
          <t>Mức phạt vượt trần cảnh báo</t>
        </is>
      </c>
    </row>
    <row r="25" ht="20" customHeight="1">
      <c r="A25" s="19" t="inlineStr">
        <is>
          <t>E052</t>
        </is>
      </c>
      <c r="B25" s="20" t="inlineStr">
        <is>
          <t>Employee_52</t>
        </is>
      </c>
      <c r="C25" s="19" t="inlineStr">
        <is>
          <t>Finance</t>
        </is>
      </c>
      <c r="D25" s="21" t="n">
        <v>4558621</v>
      </c>
      <c r="E25" s="21" t="n">
        <v>791066</v>
      </c>
      <c r="F25" s="21" t="n">
        <v>30286830</v>
      </c>
      <c r="G25" s="20" t="inlineStr">
        <is>
          <t>Mức thưởng xuất sắc vượt trội</t>
        </is>
      </c>
    </row>
    <row r="26" ht="20" customHeight="1">
      <c r="A26" s="22" t="inlineStr">
        <is>
          <t>E072</t>
        </is>
      </c>
      <c r="B26" s="23" t="inlineStr">
        <is>
          <t>Employee_72</t>
        </is>
      </c>
      <c r="C26" s="22" t="inlineStr">
        <is>
          <t>Operations</t>
        </is>
      </c>
      <c r="D26" s="24" t="n">
        <v>3832216</v>
      </c>
      <c r="E26" s="24" t="n">
        <v>1772730</v>
      </c>
      <c r="F26" s="24" t="n">
        <v>18451389</v>
      </c>
      <c r="G26" s="23" t="inlineStr">
        <is>
          <t>Mức phạt vượt trần cảnh báo</t>
        </is>
      </c>
    </row>
    <row r="27" ht="20" customHeight="1">
      <c r="A27" s="19" t="inlineStr">
        <is>
          <t>E073</t>
        </is>
      </c>
      <c r="B27" s="20" t="inlineStr">
        <is>
          <t>Employee_73</t>
        </is>
      </c>
      <c r="C27" s="19" t="inlineStr">
        <is>
          <t>HR</t>
        </is>
      </c>
      <c r="D27" s="21" t="n">
        <v>4053443</v>
      </c>
      <c r="E27" s="21" t="n">
        <v>223668</v>
      </c>
      <c r="F27" s="21" t="n">
        <v>24737938</v>
      </c>
      <c r="G27" s="20" t="inlineStr">
        <is>
          <t>Mức thưởng xuất sắc vượt trội</t>
        </is>
      </c>
    </row>
    <row r="28" ht="20" customHeight="1">
      <c r="A28" s="22" t="inlineStr">
        <is>
          <t>E082</t>
        </is>
      </c>
      <c r="B28" s="23" t="inlineStr">
        <is>
          <t>Employee_82</t>
        </is>
      </c>
      <c r="C28" s="22" t="inlineStr">
        <is>
          <t>Finance</t>
        </is>
      </c>
      <c r="D28" s="24" t="n">
        <v>2155621</v>
      </c>
      <c r="E28" s="24" t="n">
        <v>1916899</v>
      </c>
      <c r="F28" s="24" t="n">
        <v>13759916</v>
      </c>
      <c r="G28" s="23" t="inlineStr">
        <is>
          <t>Mức phạt vượt trần cảnh báo</t>
        </is>
      </c>
    </row>
    <row r="29" ht="20" customHeight="1">
      <c r="A29" s="22" t="inlineStr">
        <is>
          <t>E095</t>
        </is>
      </c>
      <c r="B29" s="23" t="inlineStr">
        <is>
          <t>Employee_95</t>
        </is>
      </c>
      <c r="C29" s="22" t="inlineStr">
        <is>
          <t>HR</t>
        </is>
      </c>
      <c r="D29" s="24" t="n">
        <v>3730379</v>
      </c>
      <c r="E29" s="24" t="n">
        <v>1993458</v>
      </c>
      <c r="F29" s="24" t="n">
        <v>24614388</v>
      </c>
      <c r="G29" s="23" t="inlineStr">
        <is>
          <t>Mức phạt vượt trần cảnh báo</t>
        </is>
      </c>
    </row>
    <row r="30" ht="20" customHeight="1">
      <c r="A30" s="19" t="inlineStr">
        <is>
          <t>E107</t>
        </is>
      </c>
      <c r="B30" s="20" t="inlineStr">
        <is>
          <t>Employee_107</t>
        </is>
      </c>
      <c r="C30" s="19" t="inlineStr">
        <is>
          <t>Sales</t>
        </is>
      </c>
      <c r="D30" s="21" t="n">
        <v>4226505</v>
      </c>
      <c r="E30" s="21" t="n">
        <v>464623</v>
      </c>
      <c r="F30" s="21" t="n">
        <v>26928667</v>
      </c>
      <c r="G30" s="20" t="inlineStr">
        <is>
          <t>Mức thưởng xuất sắc vượt trội</t>
        </is>
      </c>
    </row>
    <row r="31" ht="20" customHeight="1">
      <c r="A31" s="19" t="inlineStr">
        <is>
          <t>E112</t>
        </is>
      </c>
      <c r="B31" s="20" t="inlineStr">
        <is>
          <t>Employee_112</t>
        </is>
      </c>
      <c r="C31" s="19" t="inlineStr">
        <is>
          <t>Operations</t>
        </is>
      </c>
      <c r="D31" s="21" t="n">
        <v>4450633</v>
      </c>
      <c r="E31" s="21" t="n">
        <v>618445</v>
      </c>
      <c r="F31" s="21" t="n">
        <v>31877332</v>
      </c>
      <c r="G31" s="20" t="inlineStr">
        <is>
          <t>Mức thưởng xuất sắc vượt trội</t>
        </is>
      </c>
    </row>
    <row r="32" ht="20" customHeight="1">
      <c r="A32" s="22" t="inlineStr">
        <is>
          <t>E115</t>
        </is>
      </c>
      <c r="B32" s="23" t="inlineStr">
        <is>
          <t>Employee_115</t>
        </is>
      </c>
      <c r="C32" s="22" t="inlineStr">
        <is>
          <t>Operations</t>
        </is>
      </c>
      <c r="D32" s="24" t="n">
        <v>3489574</v>
      </c>
      <c r="E32" s="24" t="n">
        <v>1530108</v>
      </c>
      <c r="F32" s="24" t="n">
        <v>23338630</v>
      </c>
      <c r="G32" s="23" t="inlineStr">
        <is>
          <t>Mức phạt vượt trần cảnh báo</t>
        </is>
      </c>
    </row>
    <row r="33" ht="20" customHeight="1">
      <c r="A33" s="22" t="inlineStr">
        <is>
          <t>E120</t>
        </is>
      </c>
      <c r="B33" s="23" t="inlineStr">
        <is>
          <t>Employee_120</t>
        </is>
      </c>
      <c r="C33" s="22" t="inlineStr">
        <is>
          <t>Sales</t>
        </is>
      </c>
      <c r="D33" s="24" t="n">
        <v>2966195</v>
      </c>
      <c r="E33" s="24" t="n">
        <v>1832087</v>
      </c>
      <c r="F33" s="24" t="n">
        <v>22918558</v>
      </c>
      <c r="G33" s="23" t="inlineStr">
        <is>
          <t>Mức phạt vượt trần cảnh báo</t>
        </is>
      </c>
    </row>
    <row r="34" ht="20" customHeight="1">
      <c r="A34" s="22" t="inlineStr">
        <is>
          <t>E124</t>
        </is>
      </c>
      <c r="B34" s="23" t="inlineStr">
        <is>
          <t>Employee_124</t>
        </is>
      </c>
      <c r="C34" s="22" t="inlineStr">
        <is>
          <t>HR</t>
        </is>
      </c>
      <c r="D34" s="24" t="n">
        <v>4705721</v>
      </c>
      <c r="E34" s="24" t="n">
        <v>1609422</v>
      </c>
      <c r="F34" s="24" t="n">
        <v>25494922</v>
      </c>
      <c r="G34" s="23" t="inlineStr">
        <is>
          <t>Thưởng và Phạt đều cao bất thường</t>
        </is>
      </c>
    </row>
    <row r="35" ht="20" customHeight="1">
      <c r="A35" s="22" t="inlineStr">
        <is>
          <t>E130</t>
        </is>
      </c>
      <c r="B35" s="23" t="inlineStr">
        <is>
          <t>Employee_130</t>
        </is>
      </c>
      <c r="C35" s="22" t="inlineStr">
        <is>
          <t>Finance</t>
        </is>
      </c>
      <c r="D35" s="24" t="n">
        <v>712671</v>
      </c>
      <c r="E35" s="24" t="n">
        <v>1852502</v>
      </c>
      <c r="F35" s="24" t="n">
        <v>25905448</v>
      </c>
      <c r="G35" s="23" t="inlineStr">
        <is>
          <t>Mức phạt vượt trần cảnh báo</t>
        </is>
      </c>
    </row>
    <row r="36" ht="20" customHeight="1">
      <c r="A36" s="19" t="inlineStr">
        <is>
          <t>E147</t>
        </is>
      </c>
      <c r="B36" s="20" t="inlineStr">
        <is>
          <t>Employee_147</t>
        </is>
      </c>
      <c r="C36" s="19" t="inlineStr">
        <is>
          <t>HR</t>
        </is>
      </c>
      <c r="D36" s="21" t="n">
        <v>4282244</v>
      </c>
      <c r="E36" s="21" t="n">
        <v>1327968</v>
      </c>
      <c r="F36" s="21" t="n">
        <v>13517142</v>
      </c>
      <c r="G36" s="20" t="inlineStr">
        <is>
          <t>Thưởng và Phạt đều cao bất thường</t>
        </is>
      </c>
    </row>
    <row r="37" ht="20" customHeight="1">
      <c r="A37" s="22" t="inlineStr">
        <is>
          <t>E180</t>
        </is>
      </c>
      <c r="B37" s="23" t="inlineStr">
        <is>
          <t>Employee_180</t>
        </is>
      </c>
      <c r="C37" s="22" t="inlineStr">
        <is>
          <t>Sales</t>
        </is>
      </c>
      <c r="D37" s="24" t="n">
        <v>4031486</v>
      </c>
      <c r="E37" s="24" t="n">
        <v>1833156</v>
      </c>
      <c r="F37" s="24" t="n">
        <v>31712728</v>
      </c>
      <c r="G37" s="23" t="inlineStr">
        <is>
          <t>Thưởng và Phạt đều cao bất thường</t>
        </is>
      </c>
    </row>
    <row r="38" ht="20" customHeight="1">
      <c r="A38" s="22" t="inlineStr">
        <is>
          <t>E186</t>
        </is>
      </c>
      <c r="B38" s="23" t="inlineStr">
        <is>
          <t>Employee_186</t>
        </is>
      </c>
      <c r="C38" s="22" t="inlineStr">
        <is>
          <t>HR</t>
        </is>
      </c>
      <c r="D38" s="24" t="n">
        <v>2673322</v>
      </c>
      <c r="E38" s="24" t="n">
        <v>1952083</v>
      </c>
      <c r="F38" s="24" t="n">
        <v>9667056</v>
      </c>
      <c r="G38" s="23" t="inlineStr">
        <is>
          <t>Mức phạt vượt trần cảnh báo</t>
        </is>
      </c>
    </row>
    <row r="39" ht="20" customHeight="1">
      <c r="A39" s="25" t="inlineStr">
        <is>
          <t>E199</t>
        </is>
      </c>
      <c r="B39" s="26" t="inlineStr">
        <is>
          <t>Employee_199</t>
        </is>
      </c>
      <c r="C39" s="25" t="inlineStr">
        <is>
          <t>HR</t>
        </is>
      </c>
      <c r="D39" s="27" t="n">
        <v>2955298</v>
      </c>
      <c r="E39" s="27" t="n">
        <v>1145073</v>
      </c>
      <c r="F39" s="27" t="n">
        <v>11297883</v>
      </c>
      <c r="G39" s="26" t="inlineStr">
        <is>
          <t>Mức phạt vượt trần cảnh báo</t>
        </is>
      </c>
    </row>
    <row r="40" ht="20" customHeight="1">
      <c r="A40" s="19" t="inlineStr">
        <is>
          <t>E200</t>
        </is>
      </c>
      <c r="B40" s="20" t="inlineStr">
        <is>
          <t>Employee_200</t>
        </is>
      </c>
      <c r="C40" s="19" t="inlineStr">
        <is>
          <t>HR</t>
        </is>
      </c>
      <c r="D40" s="21" t="n">
        <v>4014210</v>
      </c>
      <c r="E40" s="21" t="n">
        <v>1324846</v>
      </c>
      <c r="F40" s="21" t="n">
        <v>26279521</v>
      </c>
      <c r="G40" s="20" t="inlineStr">
        <is>
          <t>Mức thưởng xuất sắc vượt trội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5" customWidth="1" min="4" max="4"/>
    <col width="21" customWidth="1" min="5" max="5"/>
    <col width="21" customWidth="1" min="6" max="6"/>
    <col width="21" customWidth="1" min="7" max="7"/>
    <col width="21" customWidth="1" min="8" max="8"/>
    <col width="12" customWidth="1" min="9" max="9"/>
    <col width="36" customWidth="1" min="10" max="10"/>
  </cols>
  <sheetData>
    <row r="1" ht="28" customHeight="1">
      <c r="A1" s="28" t="inlineStr">
        <is>
          <t>STT</t>
        </is>
      </c>
      <c r="B1" s="28" t="inlineStr">
        <is>
          <t>Mã NV</t>
        </is>
      </c>
      <c r="C1" s="28" t="inlineStr">
        <is>
          <t>Họ Tên</t>
        </is>
      </c>
      <c r="D1" s="28" t="inlineStr">
        <is>
          <t>Phòng Ban</t>
        </is>
      </c>
      <c r="E1" s="28" t="inlineStr">
        <is>
          <t>Lương Cơ Bản</t>
        </is>
      </c>
      <c r="F1" s="28" t="inlineStr">
        <is>
          <t>Thưởng</t>
        </is>
      </c>
      <c r="G1" s="28" t="inlineStr">
        <is>
          <t>Phạt</t>
        </is>
      </c>
      <c r="H1" s="28" t="inlineStr">
        <is>
          <t>Lương Thực Nhận</t>
        </is>
      </c>
      <c r="I1" s="28" t="inlineStr">
        <is>
          <t>Kỳ</t>
        </is>
      </c>
      <c r="J1" s="28" t="inlineStr">
        <is>
          <t>Ghi Chú Kiểm Toán</t>
        </is>
      </c>
    </row>
    <row r="2" ht="20" customHeight="1">
      <c r="A2" s="29" t="n">
        <v>1</v>
      </c>
      <c r="B2" s="29" t="inlineStr">
        <is>
          <t>E004</t>
        </is>
      </c>
      <c r="C2" s="11" t="inlineStr">
        <is>
          <t>Employee_4</t>
        </is>
      </c>
      <c r="D2" s="29" t="inlineStr">
        <is>
          <t>Operations</t>
        </is>
      </c>
      <c r="E2" s="13" t="n">
        <v>26467972</v>
      </c>
      <c r="F2" s="13" t="n">
        <v>2774878</v>
      </c>
      <c r="G2" s="13" t="n">
        <v>737800</v>
      </c>
      <c r="H2" s="13">
        <f>E2+F2-G2</f>
        <v/>
      </c>
      <c r="I2" s="29" t="inlineStr">
        <is>
          <t>2026-03</t>
        </is>
      </c>
      <c r="J2" s="11" t="inlineStr">
        <is>
          <t>Hợp lệ</t>
        </is>
      </c>
    </row>
    <row r="3" ht="20" customHeight="1">
      <c r="A3" s="30" t="n">
        <v>2</v>
      </c>
      <c r="B3" s="30" t="inlineStr">
        <is>
          <t>E008</t>
        </is>
      </c>
      <c r="C3" s="8" t="inlineStr">
        <is>
          <t>Employee_8</t>
        </is>
      </c>
      <c r="D3" s="30" t="inlineStr">
        <is>
          <t>Sales</t>
        </is>
      </c>
      <c r="E3" s="10" t="n">
        <v>14513505</v>
      </c>
      <c r="F3" s="10" t="n">
        <v>2485095</v>
      </c>
      <c r="G3" s="10" t="n">
        <v>477066</v>
      </c>
      <c r="H3" s="10">
        <f>E3+F3-G3</f>
        <v/>
      </c>
      <c r="I3" s="30" t="inlineStr">
        <is>
          <t>2026-03</t>
        </is>
      </c>
      <c r="J3" s="8" t="inlineStr">
        <is>
          <t>Hợp lệ</t>
        </is>
      </c>
    </row>
    <row r="4" ht="20" customHeight="1">
      <c r="A4" s="29" t="n">
        <v>3</v>
      </c>
      <c r="B4" s="29" t="inlineStr">
        <is>
          <t>E009</t>
        </is>
      </c>
      <c r="C4" s="11" t="inlineStr">
        <is>
          <t>Employee_9</t>
        </is>
      </c>
      <c r="D4" s="29" t="inlineStr">
        <is>
          <t>HR</t>
        </is>
      </c>
      <c r="E4" s="13" t="n">
        <v>18142417</v>
      </c>
      <c r="F4" s="13" t="n">
        <v>118685</v>
      </c>
      <c r="G4" s="13" t="n">
        <v>1484822</v>
      </c>
      <c r="H4" s="13">
        <f>E4+F4-G4</f>
        <v/>
      </c>
      <c r="I4" s="29" t="inlineStr">
        <is>
          <t>2026-03</t>
        </is>
      </c>
      <c r="J4" s="11" t="inlineStr">
        <is>
          <t>Hợp lệ</t>
        </is>
      </c>
    </row>
    <row r="5" ht="20" customHeight="1">
      <c r="A5" s="30" t="n">
        <v>4</v>
      </c>
      <c r="B5" s="30" t="inlineStr">
        <is>
          <t>E011</t>
        </is>
      </c>
      <c r="C5" s="8" t="inlineStr">
        <is>
          <t>Employee_11</t>
        </is>
      </c>
      <c r="D5" s="30" t="inlineStr">
        <is>
          <t>HR</t>
        </is>
      </c>
      <c r="E5" s="10" t="n">
        <v>29403353</v>
      </c>
      <c r="F5" s="31" t="n">
        <v>4117788</v>
      </c>
      <c r="G5" s="10" t="n">
        <v>215141</v>
      </c>
      <c r="H5" s="10">
        <f>E5+F5-G5</f>
        <v/>
      </c>
      <c r="I5" s="30" t="inlineStr">
        <is>
          <t>2026-03</t>
        </is>
      </c>
      <c r="J5" s="8" t="inlineStr">
        <is>
          <t>Mức thưởng xuất sắc vượt trội</t>
        </is>
      </c>
    </row>
    <row r="6" ht="20" customHeight="1">
      <c r="A6" s="29" t="n">
        <v>5</v>
      </c>
      <c r="B6" s="29" t="inlineStr">
        <is>
          <t>E013</t>
        </is>
      </c>
      <c r="C6" s="11" t="inlineStr">
        <is>
          <t>Employee_13</t>
        </is>
      </c>
      <c r="D6" s="29" t="inlineStr">
        <is>
          <t>HR</t>
        </is>
      </c>
      <c r="E6" s="13" t="n">
        <v>9723916</v>
      </c>
      <c r="F6" s="13" t="n">
        <v>2117942</v>
      </c>
      <c r="G6" s="32" t="n">
        <v>1973553</v>
      </c>
      <c r="H6" s="13">
        <f>E6+F6-G6</f>
        <v/>
      </c>
      <c r="I6" s="29" t="inlineStr">
        <is>
          <t>2026-03</t>
        </is>
      </c>
      <c r="J6" s="11" t="inlineStr">
        <is>
          <t>Mức phạt vượt trần cảnh báo</t>
        </is>
      </c>
    </row>
    <row r="7" ht="20" customHeight="1">
      <c r="A7" s="30" t="n">
        <v>6</v>
      </c>
      <c r="B7" s="30" t="inlineStr">
        <is>
          <t>E016</t>
        </is>
      </c>
      <c r="C7" s="8" t="inlineStr">
        <is>
          <t>Employee_16</t>
        </is>
      </c>
      <c r="D7" s="30" t="inlineStr">
        <is>
          <t>Sales</t>
        </is>
      </c>
      <c r="E7" s="10" t="n">
        <v>16327906</v>
      </c>
      <c r="F7" s="10" t="n">
        <v>993643</v>
      </c>
      <c r="G7" s="10" t="n">
        <v>1170363</v>
      </c>
      <c r="H7" s="10">
        <f>E7+F7-G7</f>
        <v/>
      </c>
      <c r="I7" s="30" t="inlineStr">
        <is>
          <t>2026-03</t>
        </is>
      </c>
      <c r="J7" s="8" t="inlineStr">
        <is>
          <t>Hợp lệ</t>
        </is>
      </c>
    </row>
    <row r="8" ht="20" customHeight="1">
      <c r="A8" s="29" t="n">
        <v>7</v>
      </c>
      <c r="B8" s="29" t="inlineStr">
        <is>
          <t>E023</t>
        </is>
      </c>
      <c r="C8" s="11" t="inlineStr">
        <is>
          <t>Employee_23</t>
        </is>
      </c>
      <c r="D8" s="29" t="inlineStr">
        <is>
          <t>Operations</t>
        </is>
      </c>
      <c r="E8" s="13" t="n">
        <v>10388396</v>
      </c>
      <c r="F8" s="13" t="n">
        <v>1958100</v>
      </c>
      <c r="G8" s="32" t="n">
        <v>1937581</v>
      </c>
      <c r="H8" s="13">
        <f>E8+F8-G8</f>
        <v/>
      </c>
      <c r="I8" s="29" t="inlineStr">
        <is>
          <t>2026-03</t>
        </is>
      </c>
      <c r="J8" s="11" t="inlineStr">
        <is>
          <t>Mức phạt vượt trần cảnh báo</t>
        </is>
      </c>
    </row>
    <row r="9" ht="20" customHeight="1">
      <c r="A9" s="30" t="n">
        <v>8</v>
      </c>
      <c r="B9" s="30" t="inlineStr">
        <is>
          <t>E024</t>
        </is>
      </c>
      <c r="C9" s="8" t="inlineStr">
        <is>
          <t>Employee_24</t>
        </is>
      </c>
      <c r="D9" s="30" t="inlineStr">
        <is>
          <t>HR</t>
        </is>
      </c>
      <c r="E9" s="10" t="n">
        <v>22265296</v>
      </c>
      <c r="F9" s="10" t="n">
        <v>962813</v>
      </c>
      <c r="G9" s="10" t="n">
        <v>1142030</v>
      </c>
      <c r="H9" s="10">
        <f>E9+F9-G9</f>
        <v/>
      </c>
      <c r="I9" s="30" t="inlineStr">
        <is>
          <t>2026-03</t>
        </is>
      </c>
      <c r="J9" s="8" t="inlineStr">
        <is>
          <t>Hợp lệ</t>
        </is>
      </c>
    </row>
    <row r="10" ht="20" customHeight="1">
      <c r="A10" s="29" t="n">
        <v>9</v>
      </c>
      <c r="B10" s="29" t="inlineStr">
        <is>
          <t>E027</t>
        </is>
      </c>
      <c r="C10" s="11" t="inlineStr">
        <is>
          <t>Employee_27</t>
        </is>
      </c>
      <c r="D10" s="29" t="inlineStr">
        <is>
          <t>Operations</t>
        </is>
      </c>
      <c r="E10" s="13" t="n">
        <v>12172616</v>
      </c>
      <c r="F10" s="13" t="n">
        <v>3931723</v>
      </c>
      <c r="G10" s="13" t="n">
        <v>1444262</v>
      </c>
      <c r="H10" s="13">
        <f>E10+F10-G10</f>
        <v/>
      </c>
      <c r="I10" s="29" t="inlineStr">
        <is>
          <t>2026-03</t>
        </is>
      </c>
      <c r="J10" s="11" t="inlineStr">
        <is>
          <t>Mức phạt vượt trần cảnh báo</t>
        </is>
      </c>
    </row>
    <row r="11" ht="20" customHeight="1">
      <c r="A11" s="30" t="n">
        <v>10</v>
      </c>
      <c r="B11" s="30" t="inlineStr">
        <is>
          <t>E028</t>
        </is>
      </c>
      <c r="C11" s="8" t="inlineStr">
        <is>
          <t>Employee_28</t>
        </is>
      </c>
      <c r="D11" s="30" t="inlineStr">
        <is>
          <t>Operations</t>
        </is>
      </c>
      <c r="E11" s="10" t="n">
        <v>17135066</v>
      </c>
      <c r="F11" s="31" t="n">
        <v>4198264</v>
      </c>
      <c r="G11" s="10" t="n">
        <v>1132423</v>
      </c>
      <c r="H11" s="10">
        <f>E11+F11-G11</f>
        <v/>
      </c>
      <c r="I11" s="30" t="inlineStr">
        <is>
          <t>2026-03</t>
        </is>
      </c>
      <c r="J11" s="8" t="inlineStr">
        <is>
          <t>Mức thưởng xuất sắc vượt trội</t>
        </is>
      </c>
    </row>
    <row r="12" ht="20" customHeight="1">
      <c r="A12" s="29" t="n">
        <v>11</v>
      </c>
      <c r="B12" s="29" t="inlineStr">
        <is>
          <t>E034</t>
        </is>
      </c>
      <c r="C12" s="11" t="inlineStr">
        <is>
          <t>Employee_34</t>
        </is>
      </c>
      <c r="D12" s="29" t="inlineStr">
        <is>
          <t>HR</t>
        </is>
      </c>
      <c r="E12" s="13" t="n">
        <v>27640403</v>
      </c>
      <c r="F12" s="13" t="n">
        <v>3656468</v>
      </c>
      <c r="G12" s="13" t="n">
        <v>1331240</v>
      </c>
      <c r="H12" s="13">
        <f>E12+F12-G12</f>
        <v/>
      </c>
      <c r="I12" s="29" t="inlineStr">
        <is>
          <t>2026-03</t>
        </is>
      </c>
      <c r="J12" s="11" t="inlineStr">
        <is>
          <t>Hợp lệ</t>
        </is>
      </c>
    </row>
    <row r="13" ht="20" customHeight="1">
      <c r="A13" s="30" t="n">
        <v>12</v>
      </c>
      <c r="B13" s="30" t="inlineStr">
        <is>
          <t>E036</t>
        </is>
      </c>
      <c r="C13" s="8" t="inlineStr">
        <is>
          <t>Employee_36</t>
        </is>
      </c>
      <c r="D13" s="30" t="inlineStr">
        <is>
          <t>Finance</t>
        </is>
      </c>
      <c r="E13" s="10" t="n">
        <v>11509789</v>
      </c>
      <c r="F13" s="10" t="n">
        <v>1349096</v>
      </c>
      <c r="G13" s="10" t="n">
        <v>691648</v>
      </c>
      <c r="H13" s="10">
        <f>E13+F13-G13</f>
        <v/>
      </c>
      <c r="I13" s="30" t="inlineStr">
        <is>
          <t>2026-03</t>
        </is>
      </c>
      <c r="J13" s="8" t="inlineStr">
        <is>
          <t>Hợp lệ</t>
        </is>
      </c>
    </row>
    <row r="14" ht="20" customHeight="1">
      <c r="A14" s="29" t="n">
        <v>13</v>
      </c>
      <c r="B14" s="29" t="inlineStr">
        <is>
          <t>E039</t>
        </is>
      </c>
      <c r="C14" s="11" t="inlineStr">
        <is>
          <t>Employee_39</t>
        </is>
      </c>
      <c r="D14" s="29" t="inlineStr">
        <is>
          <t>Sales</t>
        </is>
      </c>
      <c r="E14" s="13" t="n">
        <v>21561864</v>
      </c>
      <c r="F14" s="31" t="n">
        <v>4316746</v>
      </c>
      <c r="G14" s="32" t="n">
        <v>1729997</v>
      </c>
      <c r="H14" s="13">
        <f>E14+F14-G14</f>
        <v/>
      </c>
      <c r="I14" s="29" t="inlineStr">
        <is>
          <t>2026-03</t>
        </is>
      </c>
      <c r="J14" s="11" t="inlineStr">
        <is>
          <t>Thưởng và Phạt đều cao bất thường</t>
        </is>
      </c>
    </row>
    <row r="15" ht="20" customHeight="1">
      <c r="A15" s="30" t="n">
        <v>14</v>
      </c>
      <c r="B15" s="30" t="inlineStr">
        <is>
          <t>E041</t>
        </is>
      </c>
      <c r="C15" s="8" t="inlineStr">
        <is>
          <t>Employee_41</t>
        </is>
      </c>
      <c r="D15" s="30" t="inlineStr">
        <is>
          <t>Operations</t>
        </is>
      </c>
      <c r="E15" s="10" t="n">
        <v>28985235</v>
      </c>
      <c r="F15" s="10" t="n">
        <v>3708108</v>
      </c>
      <c r="G15" s="32" t="n">
        <v>1593815</v>
      </c>
      <c r="H15" s="10">
        <f>E15+F15-G15</f>
        <v/>
      </c>
      <c r="I15" s="30" t="inlineStr">
        <is>
          <t>2026-03</t>
        </is>
      </c>
      <c r="J15" s="8" t="inlineStr">
        <is>
          <t>Mức phạt vượt trần cảnh báo</t>
        </is>
      </c>
    </row>
    <row r="16" ht="20" customHeight="1">
      <c r="A16" s="29" t="n">
        <v>15</v>
      </c>
      <c r="B16" s="29" t="inlineStr">
        <is>
          <t>E043</t>
        </is>
      </c>
      <c r="C16" s="11" t="inlineStr">
        <is>
          <t>Employee_43</t>
        </is>
      </c>
      <c r="D16" s="29" t="inlineStr">
        <is>
          <t>Operations</t>
        </is>
      </c>
      <c r="E16" s="13" t="n">
        <v>24264229</v>
      </c>
      <c r="F16" s="13" t="n">
        <v>1018595</v>
      </c>
      <c r="G16" s="13" t="n">
        <v>60543</v>
      </c>
      <c r="H16" s="13">
        <f>E16+F16-G16</f>
        <v/>
      </c>
      <c r="I16" s="29" t="inlineStr">
        <is>
          <t>2026-03</t>
        </is>
      </c>
      <c r="J16" s="11" t="inlineStr">
        <is>
          <t>Hợp lệ</t>
        </is>
      </c>
    </row>
    <row r="17" ht="20" customHeight="1">
      <c r="A17" s="30" t="n">
        <v>16</v>
      </c>
      <c r="B17" s="30" t="inlineStr">
        <is>
          <t>E047</t>
        </is>
      </c>
      <c r="C17" s="8" t="inlineStr">
        <is>
          <t>Employee_47</t>
        </is>
      </c>
      <c r="D17" s="30" t="inlineStr">
        <is>
          <t>Operations</t>
        </is>
      </c>
      <c r="E17" s="10" t="n">
        <v>24189999</v>
      </c>
      <c r="F17" s="10" t="n">
        <v>3961266</v>
      </c>
      <c r="G17" s="10" t="n">
        <v>511140</v>
      </c>
      <c r="H17" s="10">
        <f>E17+F17-G17</f>
        <v/>
      </c>
      <c r="I17" s="30" t="inlineStr">
        <is>
          <t>2026-03</t>
        </is>
      </c>
      <c r="J17" s="8" t="inlineStr">
        <is>
          <t>Hợp lệ</t>
        </is>
      </c>
    </row>
    <row r="18" ht="20" customHeight="1">
      <c r="A18" s="29" t="n">
        <v>17</v>
      </c>
      <c r="B18" s="29" t="inlineStr">
        <is>
          <t>E050</t>
        </is>
      </c>
      <c r="C18" s="11" t="inlineStr">
        <is>
          <t>Employee_50</t>
        </is>
      </c>
      <c r="D18" s="29" t="inlineStr">
        <is>
          <t>Sales</t>
        </is>
      </c>
      <c r="E18" s="13" t="n">
        <v>17490501</v>
      </c>
      <c r="F18" s="13" t="n">
        <v>2504467</v>
      </c>
      <c r="G18" s="32" t="n">
        <v>1756314</v>
      </c>
      <c r="H18" s="13">
        <f>E18+F18-G18</f>
        <v/>
      </c>
      <c r="I18" s="29" t="inlineStr">
        <is>
          <t>2026-03</t>
        </is>
      </c>
      <c r="J18" s="11" t="inlineStr">
        <is>
          <t>Mức phạt vượt trần cảnh báo</t>
        </is>
      </c>
    </row>
    <row r="19" ht="20" customHeight="1">
      <c r="A19" s="30" t="n">
        <v>18</v>
      </c>
      <c r="B19" s="30" t="inlineStr">
        <is>
          <t>E052</t>
        </is>
      </c>
      <c r="C19" s="8" t="inlineStr">
        <is>
          <t>Employee_52</t>
        </is>
      </c>
      <c r="D19" s="30" t="inlineStr">
        <is>
          <t>Finance</t>
        </is>
      </c>
      <c r="E19" s="10" t="n">
        <v>26519275</v>
      </c>
      <c r="F19" s="31" t="n">
        <v>4558621</v>
      </c>
      <c r="G19" s="10" t="n">
        <v>791066</v>
      </c>
      <c r="H19" s="10">
        <f>E19+F19-G19</f>
        <v/>
      </c>
      <c r="I19" s="30" t="inlineStr">
        <is>
          <t>2026-03</t>
        </is>
      </c>
      <c r="J19" s="8" t="inlineStr">
        <is>
          <t>Mức thưởng xuất sắc vượt trội</t>
        </is>
      </c>
    </row>
    <row r="20" ht="20" customHeight="1">
      <c r="A20" s="29" t="n">
        <v>19</v>
      </c>
      <c r="B20" s="29" t="inlineStr">
        <is>
          <t>E061</t>
        </is>
      </c>
      <c r="C20" s="11" t="inlineStr">
        <is>
          <t>Employee_61</t>
        </is>
      </c>
      <c r="D20" s="29" t="inlineStr">
        <is>
          <t>Operations</t>
        </is>
      </c>
      <c r="E20" s="13" t="n">
        <v>26153485</v>
      </c>
      <c r="F20" s="13" t="n">
        <v>301143</v>
      </c>
      <c r="G20" s="13" t="n">
        <v>1294906</v>
      </c>
      <c r="H20" s="13">
        <f>E20+F20-G20</f>
        <v/>
      </c>
      <c r="I20" s="29" t="inlineStr">
        <is>
          <t>2026-03</t>
        </is>
      </c>
      <c r="J20" s="11" t="inlineStr">
        <is>
          <t>Hợp lệ</t>
        </is>
      </c>
    </row>
    <row r="21" ht="20" customHeight="1">
      <c r="A21" s="30" t="n">
        <v>20</v>
      </c>
      <c r="B21" s="30" t="inlineStr">
        <is>
          <t>E070</t>
        </is>
      </c>
      <c r="C21" s="8" t="inlineStr">
        <is>
          <t>Employee_70</t>
        </is>
      </c>
      <c r="D21" s="30" t="inlineStr">
        <is>
          <t>Sales</t>
        </is>
      </c>
      <c r="E21" s="10" t="n">
        <v>23611308</v>
      </c>
      <c r="F21" s="10" t="n">
        <v>2412829</v>
      </c>
      <c r="G21" s="10" t="n">
        <v>1421053</v>
      </c>
      <c r="H21" s="10">
        <f>E21+F21-G21</f>
        <v/>
      </c>
      <c r="I21" s="30" t="inlineStr">
        <is>
          <t>2026-03</t>
        </is>
      </c>
      <c r="J21" s="8" t="inlineStr">
        <is>
          <t>Hợp lệ</t>
        </is>
      </c>
    </row>
    <row r="22" ht="20" customHeight="1">
      <c r="A22" s="29" t="n">
        <v>21</v>
      </c>
      <c r="B22" s="29" t="inlineStr">
        <is>
          <t>E072</t>
        </is>
      </c>
      <c r="C22" s="11" t="inlineStr">
        <is>
          <t>Employee_72</t>
        </is>
      </c>
      <c r="D22" s="29" t="inlineStr">
        <is>
          <t>Operations</t>
        </is>
      </c>
      <c r="E22" s="13" t="n">
        <v>16391903</v>
      </c>
      <c r="F22" s="13" t="n">
        <v>3832216</v>
      </c>
      <c r="G22" s="32" t="n">
        <v>1772730</v>
      </c>
      <c r="H22" s="13">
        <f>E22+F22-G22</f>
        <v/>
      </c>
      <c r="I22" s="29" t="inlineStr">
        <is>
          <t>2026-03</t>
        </is>
      </c>
      <c r="J22" s="11" t="inlineStr">
        <is>
          <t>Mức phạt vượt trần cảnh báo</t>
        </is>
      </c>
    </row>
    <row r="23" ht="20" customHeight="1">
      <c r="A23" s="30" t="n">
        <v>22</v>
      </c>
      <c r="B23" s="30" t="inlineStr">
        <is>
          <t>E073</t>
        </is>
      </c>
      <c r="C23" s="8" t="inlineStr">
        <is>
          <t>Employee_73</t>
        </is>
      </c>
      <c r="D23" s="30" t="inlineStr">
        <is>
          <t>HR</t>
        </is>
      </c>
      <c r="E23" s="10" t="n">
        <v>20908163</v>
      </c>
      <c r="F23" s="31" t="n">
        <v>4053443</v>
      </c>
      <c r="G23" s="10" t="n">
        <v>223668</v>
      </c>
      <c r="H23" s="10">
        <f>E23+F23-G23</f>
        <v/>
      </c>
      <c r="I23" s="30" t="inlineStr">
        <is>
          <t>2026-03</t>
        </is>
      </c>
      <c r="J23" s="8" t="inlineStr">
        <is>
          <t>Mức thưởng xuất sắc vượt trội</t>
        </is>
      </c>
    </row>
    <row r="24" ht="20" customHeight="1">
      <c r="A24" s="29" t="n">
        <v>23</v>
      </c>
      <c r="B24" s="29" t="inlineStr">
        <is>
          <t>E075</t>
        </is>
      </c>
      <c r="C24" s="11" t="inlineStr">
        <is>
          <t>Employee_75</t>
        </is>
      </c>
      <c r="D24" s="29" t="inlineStr">
        <is>
          <t>Finance</t>
        </is>
      </c>
      <c r="E24" s="13" t="n">
        <v>8736170</v>
      </c>
      <c r="F24" s="13" t="n">
        <v>3320259</v>
      </c>
      <c r="G24" s="13" t="n">
        <v>575627</v>
      </c>
      <c r="H24" s="13">
        <f>E24+F24-G24</f>
        <v/>
      </c>
      <c r="I24" s="29" t="inlineStr">
        <is>
          <t>2026-03</t>
        </is>
      </c>
      <c r="J24" s="11" t="inlineStr">
        <is>
          <t>Hợp lệ</t>
        </is>
      </c>
    </row>
    <row r="25" ht="20" customHeight="1">
      <c r="A25" s="30" t="n">
        <v>24</v>
      </c>
      <c r="B25" s="30" t="inlineStr">
        <is>
          <t>E077</t>
        </is>
      </c>
      <c r="C25" s="8" t="inlineStr">
        <is>
          <t>Employee_77</t>
        </is>
      </c>
      <c r="D25" s="30" t="inlineStr">
        <is>
          <t>HR</t>
        </is>
      </c>
      <c r="E25" s="10" t="n">
        <v>28369721</v>
      </c>
      <c r="F25" s="10" t="n">
        <v>2955482</v>
      </c>
      <c r="G25" s="10" t="n">
        <v>459285</v>
      </c>
      <c r="H25" s="10">
        <f>E25+F25-G25</f>
        <v/>
      </c>
      <c r="I25" s="30" t="inlineStr">
        <is>
          <t>2026-03</t>
        </is>
      </c>
      <c r="J25" s="8" t="inlineStr">
        <is>
          <t>Hợp lệ</t>
        </is>
      </c>
    </row>
    <row r="26" ht="20" customHeight="1">
      <c r="A26" s="29" t="n">
        <v>25</v>
      </c>
      <c r="B26" s="29" t="inlineStr">
        <is>
          <t>E080</t>
        </is>
      </c>
      <c r="C26" s="11" t="inlineStr">
        <is>
          <t>Employee_80</t>
        </is>
      </c>
      <c r="D26" s="29" t="inlineStr">
        <is>
          <t>HR</t>
        </is>
      </c>
      <c r="E26" s="13" t="n">
        <v>11024374</v>
      </c>
      <c r="F26" s="13" t="n">
        <v>2475565</v>
      </c>
      <c r="G26" s="13" t="n">
        <v>685179</v>
      </c>
      <c r="H26" s="13">
        <f>E26+F26-G26</f>
        <v/>
      </c>
      <c r="I26" s="29" t="inlineStr">
        <is>
          <t>2026-03</t>
        </is>
      </c>
      <c r="J26" s="11" t="inlineStr">
        <is>
          <t>Hợp lệ</t>
        </is>
      </c>
    </row>
    <row r="27" ht="20" customHeight="1">
      <c r="A27" s="30" t="n">
        <v>26</v>
      </c>
      <c r="B27" s="30" t="inlineStr">
        <is>
          <t>E082</t>
        </is>
      </c>
      <c r="C27" s="8" t="inlineStr">
        <is>
          <t>Employee_82</t>
        </is>
      </c>
      <c r="D27" s="30" t="inlineStr">
        <is>
          <t>Finance</t>
        </is>
      </c>
      <c r="E27" s="10" t="n">
        <v>13521194</v>
      </c>
      <c r="F27" s="10" t="n">
        <v>2155621</v>
      </c>
      <c r="G27" s="32" t="n">
        <v>1916899</v>
      </c>
      <c r="H27" s="10">
        <f>E27+F27-G27</f>
        <v/>
      </c>
      <c r="I27" s="30" t="inlineStr">
        <is>
          <t>2026-03</t>
        </is>
      </c>
      <c r="J27" s="8" t="inlineStr">
        <is>
          <t>Mức phạt vượt trần cảnh báo</t>
        </is>
      </c>
    </row>
    <row r="28" ht="20" customHeight="1">
      <c r="A28" s="29" t="n">
        <v>27</v>
      </c>
      <c r="B28" s="29" t="inlineStr">
        <is>
          <t>E085</t>
        </is>
      </c>
      <c r="C28" s="11" t="inlineStr">
        <is>
          <t>Employee_85</t>
        </is>
      </c>
      <c r="D28" s="29" t="inlineStr">
        <is>
          <t>Sales</t>
        </is>
      </c>
      <c r="E28" s="13" t="n">
        <v>21239725</v>
      </c>
      <c r="F28" s="13" t="n">
        <v>116758</v>
      </c>
      <c r="G28" s="13" t="n">
        <v>554609</v>
      </c>
      <c r="H28" s="13">
        <f>E28+F28-G28</f>
        <v/>
      </c>
      <c r="I28" s="29" t="inlineStr">
        <is>
          <t>2026-03</t>
        </is>
      </c>
      <c r="J28" s="11" t="inlineStr">
        <is>
          <t>Hợp lệ</t>
        </is>
      </c>
    </row>
    <row r="29" ht="20" customHeight="1">
      <c r="A29" s="30" t="n">
        <v>28</v>
      </c>
      <c r="B29" s="30" t="inlineStr">
        <is>
          <t>E095</t>
        </is>
      </c>
      <c r="C29" s="8" t="inlineStr">
        <is>
          <t>Employee_95</t>
        </is>
      </c>
      <c r="D29" s="30" t="inlineStr">
        <is>
          <t>HR</t>
        </is>
      </c>
      <c r="E29" s="10" t="n">
        <v>22877467</v>
      </c>
      <c r="F29" s="10" t="n">
        <v>3730379</v>
      </c>
      <c r="G29" s="32" t="n">
        <v>1993458</v>
      </c>
      <c r="H29" s="10">
        <f>E29+F29-G29</f>
        <v/>
      </c>
      <c r="I29" s="30" t="inlineStr">
        <is>
          <t>2026-03</t>
        </is>
      </c>
      <c r="J29" s="8" t="inlineStr">
        <is>
          <t>Mức phạt vượt trần cảnh báo</t>
        </is>
      </c>
    </row>
    <row r="30" ht="20" customHeight="1">
      <c r="A30" s="29" t="n">
        <v>29</v>
      </c>
      <c r="B30" s="29" t="inlineStr">
        <is>
          <t>E097</t>
        </is>
      </c>
      <c r="C30" s="11" t="inlineStr">
        <is>
          <t>Employee_97</t>
        </is>
      </c>
      <c r="D30" s="29" t="inlineStr">
        <is>
          <t>Sales</t>
        </is>
      </c>
      <c r="E30" s="13" t="n">
        <v>21359349</v>
      </c>
      <c r="F30" s="13" t="n">
        <v>2314261</v>
      </c>
      <c r="G30" s="13" t="n">
        <v>398057</v>
      </c>
      <c r="H30" s="13">
        <f>E30+F30-G30</f>
        <v/>
      </c>
      <c r="I30" s="29" t="inlineStr">
        <is>
          <t>2026-03</t>
        </is>
      </c>
      <c r="J30" s="11" t="inlineStr">
        <is>
          <t>Hợp lệ</t>
        </is>
      </c>
    </row>
    <row r="31" ht="20" customHeight="1">
      <c r="A31" s="30" t="n">
        <v>30</v>
      </c>
      <c r="B31" s="30" t="inlineStr">
        <is>
          <t>E103</t>
        </is>
      </c>
      <c r="C31" s="8" t="inlineStr">
        <is>
          <t>Employee_103</t>
        </is>
      </c>
      <c r="D31" s="30" t="inlineStr">
        <is>
          <t>HR</t>
        </is>
      </c>
      <c r="E31" s="10" t="n">
        <v>11688516</v>
      </c>
      <c r="F31" s="10" t="n">
        <v>216259</v>
      </c>
      <c r="G31" s="10" t="n">
        <v>276411</v>
      </c>
      <c r="H31" s="10">
        <f>E31+F31-G31</f>
        <v/>
      </c>
      <c r="I31" s="30" t="inlineStr">
        <is>
          <t>2026-03</t>
        </is>
      </c>
      <c r="J31" s="8" t="inlineStr">
        <is>
          <t>Hợp lệ</t>
        </is>
      </c>
    </row>
    <row r="32" ht="20" customHeight="1">
      <c r="A32" s="29" t="n">
        <v>31</v>
      </c>
      <c r="B32" s="29" t="inlineStr">
        <is>
          <t>E107</t>
        </is>
      </c>
      <c r="C32" s="11" t="inlineStr">
        <is>
          <t>Employee_107</t>
        </is>
      </c>
      <c r="D32" s="29" t="inlineStr">
        <is>
          <t>Sales</t>
        </is>
      </c>
      <c r="E32" s="13" t="n">
        <v>23166785</v>
      </c>
      <c r="F32" s="31" t="n">
        <v>4226505</v>
      </c>
      <c r="G32" s="13" t="n">
        <v>464623</v>
      </c>
      <c r="H32" s="13">
        <f>E32+F32-G32</f>
        <v/>
      </c>
      <c r="I32" s="29" t="inlineStr">
        <is>
          <t>2026-03</t>
        </is>
      </c>
      <c r="J32" s="11" t="inlineStr">
        <is>
          <t>Mức thưởng xuất sắc vượt trội</t>
        </is>
      </c>
    </row>
    <row r="33" ht="20" customHeight="1">
      <c r="A33" s="30" t="n">
        <v>32</v>
      </c>
      <c r="B33" s="30" t="inlineStr">
        <is>
          <t>E112</t>
        </is>
      </c>
      <c r="C33" s="8" t="inlineStr">
        <is>
          <t>Employee_112</t>
        </is>
      </c>
      <c r="D33" s="30" t="inlineStr">
        <is>
          <t>Operations</t>
        </is>
      </c>
      <c r="E33" s="10" t="n">
        <v>28045144</v>
      </c>
      <c r="F33" s="31" t="n">
        <v>4450633</v>
      </c>
      <c r="G33" s="10" t="n">
        <v>618445</v>
      </c>
      <c r="H33" s="10">
        <f>E33+F33-G33</f>
        <v/>
      </c>
      <c r="I33" s="30" t="inlineStr">
        <is>
          <t>2026-03</t>
        </is>
      </c>
      <c r="J33" s="8" t="inlineStr">
        <is>
          <t>Mức thưởng xuất sắc vượt trội</t>
        </is>
      </c>
    </row>
    <row r="34" ht="20" customHeight="1">
      <c r="A34" s="29" t="n">
        <v>33</v>
      </c>
      <c r="B34" s="29" t="inlineStr">
        <is>
          <t>E115</t>
        </is>
      </c>
      <c r="C34" s="11" t="inlineStr">
        <is>
          <t>Employee_115</t>
        </is>
      </c>
      <c r="D34" s="29" t="inlineStr">
        <is>
          <t>Operations</t>
        </is>
      </c>
      <c r="E34" s="13" t="n">
        <v>21379164</v>
      </c>
      <c r="F34" s="13" t="n">
        <v>3489574</v>
      </c>
      <c r="G34" s="32" t="n">
        <v>1530108</v>
      </c>
      <c r="H34" s="13">
        <f>E34+F34-G34</f>
        <v/>
      </c>
      <c r="I34" s="29" t="inlineStr">
        <is>
          <t>2026-03</t>
        </is>
      </c>
      <c r="J34" s="11" t="inlineStr">
        <is>
          <t>Mức phạt vượt trần cảnh báo</t>
        </is>
      </c>
    </row>
    <row r="35" ht="20" customHeight="1">
      <c r="A35" s="30" t="n">
        <v>34</v>
      </c>
      <c r="B35" s="30" t="inlineStr">
        <is>
          <t>E117</t>
        </is>
      </c>
      <c r="C35" s="8" t="inlineStr">
        <is>
          <t>Employee_117</t>
        </is>
      </c>
      <c r="D35" s="30" t="inlineStr">
        <is>
          <t>Finance</t>
        </is>
      </c>
      <c r="E35" s="10" t="n">
        <v>13121712</v>
      </c>
      <c r="F35" s="10" t="n">
        <v>3978447</v>
      </c>
      <c r="G35" s="10" t="n">
        <v>140788</v>
      </c>
      <c r="H35" s="10">
        <f>E35+F35-G35</f>
        <v/>
      </c>
      <c r="I35" s="30" t="inlineStr">
        <is>
          <t>2026-03</t>
        </is>
      </c>
      <c r="J35" s="8" t="inlineStr">
        <is>
          <t>Hợp lệ</t>
        </is>
      </c>
    </row>
    <row r="36" ht="20" customHeight="1">
      <c r="A36" s="29" t="n">
        <v>35</v>
      </c>
      <c r="B36" s="29" t="inlineStr">
        <is>
          <t>E119</t>
        </is>
      </c>
      <c r="C36" s="11" t="inlineStr">
        <is>
          <t>Employee_119</t>
        </is>
      </c>
      <c r="D36" s="29" t="inlineStr">
        <is>
          <t>HR</t>
        </is>
      </c>
      <c r="E36" s="13" t="n">
        <v>26668704</v>
      </c>
      <c r="F36" s="13" t="n">
        <v>503156</v>
      </c>
      <c r="G36" s="13" t="n">
        <v>1229906</v>
      </c>
      <c r="H36" s="13">
        <f>E36+F36-G36</f>
        <v/>
      </c>
      <c r="I36" s="29" t="inlineStr">
        <is>
          <t>2026-03</t>
        </is>
      </c>
      <c r="J36" s="11" t="inlineStr">
        <is>
          <t>Hợp lệ</t>
        </is>
      </c>
    </row>
    <row r="37" ht="20" customHeight="1">
      <c r="A37" s="30" t="n">
        <v>36</v>
      </c>
      <c r="B37" s="30" t="inlineStr">
        <is>
          <t>E120</t>
        </is>
      </c>
      <c r="C37" s="8" t="inlineStr">
        <is>
          <t>Employee_120</t>
        </is>
      </c>
      <c r="D37" s="30" t="inlineStr">
        <is>
          <t>Sales</t>
        </is>
      </c>
      <c r="E37" s="10" t="n">
        <v>21784450</v>
      </c>
      <c r="F37" s="10" t="n">
        <v>2966195</v>
      </c>
      <c r="G37" s="32" t="n">
        <v>1832087</v>
      </c>
      <c r="H37" s="10">
        <f>E37+F37-G37</f>
        <v/>
      </c>
      <c r="I37" s="30" t="inlineStr">
        <is>
          <t>2026-03</t>
        </is>
      </c>
      <c r="J37" s="8" t="inlineStr">
        <is>
          <t>Mức phạt vượt trần cảnh báo</t>
        </is>
      </c>
    </row>
    <row r="38" ht="20" customHeight="1">
      <c r="A38" s="29" t="n">
        <v>37</v>
      </c>
      <c r="B38" s="29" t="inlineStr">
        <is>
          <t>E124</t>
        </is>
      </c>
      <c r="C38" s="11" t="inlineStr">
        <is>
          <t>Employee_124</t>
        </is>
      </c>
      <c r="D38" s="29" t="inlineStr">
        <is>
          <t>HR</t>
        </is>
      </c>
      <c r="E38" s="13" t="n">
        <v>22398623</v>
      </c>
      <c r="F38" s="31" t="n">
        <v>4705721</v>
      </c>
      <c r="G38" s="32" t="n">
        <v>1609422</v>
      </c>
      <c r="H38" s="13">
        <f>E38+F38-G38</f>
        <v/>
      </c>
      <c r="I38" s="29" t="inlineStr">
        <is>
          <t>2026-03</t>
        </is>
      </c>
      <c r="J38" s="11" t="inlineStr">
        <is>
          <t>Thưởng và Phạt đều cao bất thường</t>
        </is>
      </c>
    </row>
    <row r="39" ht="20" customHeight="1">
      <c r="A39" s="30" t="n">
        <v>38</v>
      </c>
      <c r="B39" s="30" t="inlineStr">
        <is>
          <t>E126</t>
        </is>
      </c>
      <c r="C39" s="8" t="inlineStr">
        <is>
          <t>Employee_126</t>
        </is>
      </c>
      <c r="D39" s="30" t="inlineStr">
        <is>
          <t>Finance</t>
        </is>
      </c>
      <c r="E39" s="10" t="n">
        <v>19778391</v>
      </c>
      <c r="F39" s="10" t="n">
        <v>51219</v>
      </c>
      <c r="G39" s="10" t="n">
        <v>380435</v>
      </c>
      <c r="H39" s="10">
        <f>E39+F39-G39</f>
        <v/>
      </c>
      <c r="I39" s="30" t="inlineStr">
        <is>
          <t>2026-03</t>
        </is>
      </c>
      <c r="J39" s="8" t="inlineStr">
        <is>
          <t>Hợp lệ</t>
        </is>
      </c>
    </row>
    <row r="40" ht="20" customHeight="1">
      <c r="A40" s="29" t="n">
        <v>39</v>
      </c>
      <c r="B40" s="29" t="inlineStr">
        <is>
          <t>E130</t>
        </is>
      </c>
      <c r="C40" s="11" t="inlineStr">
        <is>
          <t>Employee_130</t>
        </is>
      </c>
      <c r="D40" s="29" t="inlineStr">
        <is>
          <t>Finance</t>
        </is>
      </c>
      <c r="E40" s="13" t="n">
        <v>27045279</v>
      </c>
      <c r="F40" s="13" t="n">
        <v>712671</v>
      </c>
      <c r="G40" s="32" t="n">
        <v>1852502</v>
      </c>
      <c r="H40" s="13">
        <f>E40+F40-G40</f>
        <v/>
      </c>
      <c r="I40" s="29" t="inlineStr">
        <is>
          <t>2026-03</t>
        </is>
      </c>
      <c r="J40" s="11" t="inlineStr">
        <is>
          <t>Mức phạt vượt trần cảnh báo</t>
        </is>
      </c>
    </row>
    <row r="41" ht="20" customHeight="1">
      <c r="A41" s="30" t="n">
        <v>40</v>
      </c>
      <c r="B41" s="30" t="inlineStr">
        <is>
          <t>E140</t>
        </is>
      </c>
      <c r="C41" s="8" t="inlineStr">
        <is>
          <t>Employee_140</t>
        </is>
      </c>
      <c r="D41" s="30" t="inlineStr">
        <is>
          <t>Sales</t>
        </is>
      </c>
      <c r="E41" s="10" t="n">
        <v>21323497</v>
      </c>
      <c r="F41" s="10" t="n">
        <v>354857</v>
      </c>
      <c r="G41" s="10" t="n">
        <v>914818</v>
      </c>
      <c r="H41" s="10">
        <f>E41+F41-G41</f>
        <v/>
      </c>
      <c r="I41" s="30" t="inlineStr">
        <is>
          <t>2026-03</t>
        </is>
      </c>
      <c r="J41" s="8" t="inlineStr">
        <is>
          <t>Hợp lệ</t>
        </is>
      </c>
    </row>
    <row r="42" ht="20" customHeight="1">
      <c r="A42" s="29" t="n">
        <v>41</v>
      </c>
      <c r="B42" s="29" t="inlineStr">
        <is>
          <t>E147</t>
        </is>
      </c>
      <c r="C42" s="11" t="inlineStr">
        <is>
          <t>Employee_147</t>
        </is>
      </c>
      <c r="D42" s="29" t="inlineStr">
        <is>
          <t>HR</t>
        </is>
      </c>
      <c r="E42" s="13" t="n">
        <v>10562866</v>
      </c>
      <c r="F42" s="31" t="n">
        <v>4282244</v>
      </c>
      <c r="G42" s="13" t="n">
        <v>1327968</v>
      </c>
      <c r="H42" s="13">
        <f>E42+F42-G42</f>
        <v/>
      </c>
      <c r="I42" s="29" t="inlineStr">
        <is>
          <t>2026-03</t>
        </is>
      </c>
      <c r="J42" s="11" t="inlineStr">
        <is>
          <t>Thưởng và Phạt đều cao bất thường</t>
        </is>
      </c>
    </row>
    <row r="43" ht="20" customHeight="1">
      <c r="A43" s="30" t="n">
        <v>42</v>
      </c>
      <c r="B43" s="30" t="inlineStr">
        <is>
          <t>E154</t>
        </is>
      </c>
      <c r="C43" s="8" t="inlineStr">
        <is>
          <t>Employee_154</t>
        </is>
      </c>
      <c r="D43" s="30" t="inlineStr">
        <is>
          <t>Finance</t>
        </is>
      </c>
      <c r="E43" s="10" t="n">
        <v>27844754</v>
      </c>
      <c r="F43" s="10" t="n">
        <v>471205</v>
      </c>
      <c r="G43" s="10" t="n">
        <v>738076</v>
      </c>
      <c r="H43" s="10">
        <f>E43+F43-G43</f>
        <v/>
      </c>
      <c r="I43" s="30" t="inlineStr">
        <is>
          <t>2026-03</t>
        </is>
      </c>
      <c r="J43" s="8" t="inlineStr">
        <is>
          <t>Hợp lệ</t>
        </is>
      </c>
    </row>
    <row r="44" ht="20" customHeight="1">
      <c r="A44" s="29" t="n">
        <v>43</v>
      </c>
      <c r="B44" s="29" t="inlineStr">
        <is>
          <t>E160</t>
        </is>
      </c>
      <c r="C44" s="11" t="inlineStr">
        <is>
          <t>Employee_160</t>
        </is>
      </c>
      <c r="D44" s="29" t="inlineStr">
        <is>
          <t>Sales</t>
        </is>
      </c>
      <c r="E44" s="13" t="n">
        <v>24929855</v>
      </c>
      <c r="F44" s="13" t="n">
        <v>1447529</v>
      </c>
      <c r="G44" s="13" t="n">
        <v>82086</v>
      </c>
      <c r="H44" s="13">
        <f>E44+F44-G44</f>
        <v/>
      </c>
      <c r="I44" s="29" t="inlineStr">
        <is>
          <t>2026-03</t>
        </is>
      </c>
      <c r="J44" s="11" t="inlineStr">
        <is>
          <t>Hợp lệ</t>
        </is>
      </c>
    </row>
    <row r="45" ht="20" customHeight="1">
      <c r="A45" s="30" t="n">
        <v>44</v>
      </c>
      <c r="B45" s="30" t="inlineStr">
        <is>
          <t>E164</t>
        </is>
      </c>
      <c r="C45" s="8" t="inlineStr">
        <is>
          <t>Employee_164</t>
        </is>
      </c>
      <c r="D45" s="30" t="inlineStr">
        <is>
          <t>Sales</t>
        </is>
      </c>
      <c r="E45" s="10" t="n">
        <v>19062586</v>
      </c>
      <c r="F45" s="10" t="n">
        <v>792773</v>
      </c>
      <c r="G45" s="10" t="n">
        <v>1170133</v>
      </c>
      <c r="H45" s="10">
        <f>E45+F45-G45</f>
        <v/>
      </c>
      <c r="I45" s="30" t="inlineStr">
        <is>
          <t>2026-03</t>
        </is>
      </c>
      <c r="J45" s="8" t="inlineStr">
        <is>
          <t>Hợp lệ</t>
        </is>
      </c>
    </row>
    <row r="46" ht="20" customHeight="1">
      <c r="A46" s="29" t="n">
        <v>45</v>
      </c>
      <c r="B46" s="29" t="inlineStr">
        <is>
          <t>E180</t>
        </is>
      </c>
      <c r="C46" s="11" t="inlineStr">
        <is>
          <t>Employee_180</t>
        </is>
      </c>
      <c r="D46" s="29" t="inlineStr">
        <is>
          <t>Sales</t>
        </is>
      </c>
      <c r="E46" s="13" t="n">
        <v>29514398</v>
      </c>
      <c r="F46" s="31" t="n">
        <v>4031486</v>
      </c>
      <c r="G46" s="32" t="n">
        <v>1833156</v>
      </c>
      <c r="H46" s="13">
        <f>E46+F46-G46</f>
        <v/>
      </c>
      <c r="I46" s="29" t="inlineStr">
        <is>
          <t>2026-03</t>
        </is>
      </c>
      <c r="J46" s="11" t="inlineStr">
        <is>
          <t>Thưởng và Phạt đều cao bất thường</t>
        </is>
      </c>
    </row>
    <row r="47" ht="20" customHeight="1">
      <c r="A47" s="30" t="n">
        <v>46</v>
      </c>
      <c r="B47" s="30" t="inlineStr">
        <is>
          <t>E181</t>
        </is>
      </c>
      <c r="C47" s="8" t="inlineStr">
        <is>
          <t>Employee_181</t>
        </is>
      </c>
      <c r="D47" s="30" t="inlineStr">
        <is>
          <t>Sales</t>
        </is>
      </c>
      <c r="E47" s="10" t="n">
        <v>25311046</v>
      </c>
      <c r="F47" s="10" t="n">
        <v>1045872</v>
      </c>
      <c r="G47" s="10" t="n">
        <v>597820</v>
      </c>
      <c r="H47" s="10">
        <f>E47+F47-G47</f>
        <v/>
      </c>
      <c r="I47" s="30" t="inlineStr">
        <is>
          <t>2026-03</t>
        </is>
      </c>
      <c r="J47" s="8" t="inlineStr">
        <is>
          <t>Hợp lệ</t>
        </is>
      </c>
    </row>
    <row r="48" ht="20" customHeight="1">
      <c r="A48" s="29" t="n">
        <v>47</v>
      </c>
      <c r="B48" s="29" t="inlineStr">
        <is>
          <t>E186</t>
        </is>
      </c>
      <c r="C48" s="11" t="inlineStr">
        <is>
          <t>Employee_186</t>
        </is>
      </c>
      <c r="D48" s="29" t="inlineStr">
        <is>
          <t>HR</t>
        </is>
      </c>
      <c r="E48" s="13" t="n">
        <v>8945817</v>
      </c>
      <c r="F48" s="13" t="n">
        <v>2673322</v>
      </c>
      <c r="G48" s="32" t="n">
        <v>1952083</v>
      </c>
      <c r="H48" s="13">
        <f>E48+F48-G48</f>
        <v/>
      </c>
      <c r="I48" s="29" t="inlineStr">
        <is>
          <t>2026-03</t>
        </is>
      </c>
      <c r="J48" s="11" t="inlineStr">
        <is>
          <t>Mức phạt vượt trần cảnh báo</t>
        </is>
      </c>
    </row>
    <row r="49" ht="20" customHeight="1">
      <c r="A49" s="30" t="n">
        <v>48</v>
      </c>
      <c r="B49" s="30" t="inlineStr">
        <is>
          <t>E188</t>
        </is>
      </c>
      <c r="C49" s="8" t="inlineStr">
        <is>
          <t>Employee_188</t>
        </is>
      </c>
      <c r="D49" s="30" t="inlineStr">
        <is>
          <t>Operations</t>
        </is>
      </c>
      <c r="E49" s="10" t="n">
        <v>12657109</v>
      </c>
      <c r="F49" s="10" t="n">
        <v>3935180</v>
      </c>
      <c r="G49" s="10" t="n">
        <v>940785</v>
      </c>
      <c r="H49" s="10">
        <f>E49+F49-G49</f>
        <v/>
      </c>
      <c r="I49" s="30" t="inlineStr">
        <is>
          <t>2026-03</t>
        </is>
      </c>
      <c r="J49" s="8" t="inlineStr">
        <is>
          <t>Hợp lệ</t>
        </is>
      </c>
    </row>
    <row r="50" ht="20" customHeight="1">
      <c r="A50" s="29" t="n">
        <v>49</v>
      </c>
      <c r="B50" s="29" t="inlineStr">
        <is>
          <t>E191</t>
        </is>
      </c>
      <c r="C50" s="11" t="inlineStr">
        <is>
          <t>Employee_191</t>
        </is>
      </c>
      <c r="D50" s="29" t="inlineStr">
        <is>
          <t>Sales</t>
        </is>
      </c>
      <c r="E50" s="13" t="n">
        <v>9602205</v>
      </c>
      <c r="F50" s="13" t="n">
        <v>2000175</v>
      </c>
      <c r="G50" s="13" t="n">
        <v>880437</v>
      </c>
      <c r="H50" s="13">
        <f>E50+F50-G50</f>
        <v/>
      </c>
      <c r="I50" s="29" t="inlineStr">
        <is>
          <t>2026-03</t>
        </is>
      </c>
      <c r="J50" s="11" t="inlineStr">
        <is>
          <t>Hợp lệ</t>
        </is>
      </c>
    </row>
    <row r="51" ht="20" customHeight="1">
      <c r="A51" s="30" t="n">
        <v>50</v>
      </c>
      <c r="B51" s="30" t="inlineStr">
        <is>
          <t>E199</t>
        </is>
      </c>
      <c r="C51" s="8" t="inlineStr">
        <is>
          <t>Employee_199</t>
        </is>
      </c>
      <c r="D51" s="30" t="inlineStr">
        <is>
          <t>HR</t>
        </is>
      </c>
      <c r="E51" s="10" t="n">
        <v>9487658</v>
      </c>
      <c r="F51" s="10" t="n">
        <v>2955298</v>
      </c>
      <c r="G51" s="10" t="n">
        <v>1145073</v>
      </c>
      <c r="H51" s="10">
        <f>E51+F51-G51</f>
        <v/>
      </c>
      <c r="I51" s="30" t="inlineStr">
        <is>
          <t>2026-03</t>
        </is>
      </c>
      <c r="J51" s="8" t="inlineStr">
        <is>
          <t>Mức phạt vượt trần cảnh báo</t>
        </is>
      </c>
    </row>
    <row r="52" ht="20" customHeight="1">
      <c r="A52" s="29" t="n">
        <v>51</v>
      </c>
      <c r="B52" s="29" t="inlineStr">
        <is>
          <t>E200</t>
        </is>
      </c>
      <c r="C52" s="11" t="inlineStr">
        <is>
          <t>Employee_200</t>
        </is>
      </c>
      <c r="D52" s="29" t="inlineStr">
        <is>
          <t>HR</t>
        </is>
      </c>
      <c r="E52" s="13" t="n">
        <v>23590157</v>
      </c>
      <c r="F52" s="31" t="n">
        <v>4014210</v>
      </c>
      <c r="G52" s="13" t="n">
        <v>1324846</v>
      </c>
      <c r="H52" s="13">
        <f>E52+F52-G52</f>
        <v/>
      </c>
      <c r="I52" s="29" t="inlineStr">
        <is>
          <t>2026-03</t>
        </is>
      </c>
      <c r="J52" s="11" t="inlineStr">
        <is>
          <t>Mức thưởng xuất sắc vượt trội</t>
        </is>
      </c>
    </row>
    <row r="53" ht="24" customHeight="1">
      <c r="A53" s="33" t="inlineStr"/>
      <c r="B53" s="34" t="inlineStr">
        <is>
          <t>TỔNG CỘNG</t>
        </is>
      </c>
      <c r="C53" s="34" t="inlineStr">
        <is>
          <t>51 NV</t>
        </is>
      </c>
      <c r="D53" s="33" t="inlineStr"/>
      <c r="E53" s="35">
        <f>SUM(E2:E52)</f>
        <v/>
      </c>
      <c r="F53" s="35">
        <f>SUM(F2:F52)</f>
        <v/>
      </c>
      <c r="G53" s="35">
        <f>SUM(G2:G52)</f>
        <v/>
      </c>
      <c r="H53" s="35">
        <f>SUM(H2:H52)</f>
        <v/>
      </c>
      <c r="I53" s="33" t="inlineStr"/>
      <c r="J53" s="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2026-09-09T14:51:19Z</dcterms:created>
  <dcterms:modified xsi:type="dcterms:W3CDTF">2026-09-09T14:51:19Z</dcterms:modified>
</cp:coreProperties>
</file>