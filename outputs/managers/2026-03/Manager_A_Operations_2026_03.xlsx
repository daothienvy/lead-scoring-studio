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KPI" sheetId="1" state="visible" r:id="rId1"/>
    <sheet name="Chi Tiết Nhân S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75569"/>
      <sz val="8"/>
    </font>
    <font>
      <name val="Segoe UI"/>
      <b val="1"/>
      <color rgb="001B365D"/>
      <sz val="12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B365D"/>
      <sz val="9"/>
    </font>
    <font>
      <name val="Segoe UI"/>
      <b val="1"/>
      <color rgb="00991B1B"/>
      <sz val="11"/>
    </font>
    <font>
      <name val="Segoe UI"/>
      <color rgb="00991B1B"/>
      <sz val="9"/>
    </font>
    <font>
      <name val="Segoe UI"/>
      <color rgb="00166534"/>
      <sz val="9"/>
    </font>
    <font>
      <name val="Segoe UI"/>
      <color rgb="000F172A"/>
      <sz val="9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164" fontId="7" fillId="5" borderId="4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3" fontId="7" fillId="4" borderId="4" applyAlignment="1" pivotButton="0" quotePrefix="0" xfId="0">
      <alignment horizontal="right" vertical="center"/>
    </xf>
    <xf numFmtId="164" fontId="7" fillId="4" borderId="4" applyAlignment="1" pivotButton="0" quotePrefix="0" xfId="0">
      <alignment horizontal="right" vertical="center"/>
    </xf>
    <xf numFmtId="0" fontId="8" fillId="6" borderId="5" applyAlignment="1" pivotButton="0" quotePrefix="0" xfId="0">
      <alignment horizontal="left" vertical="center"/>
    </xf>
    <xf numFmtId="3" fontId="8" fillId="6" borderId="5" applyAlignment="1" pivotButton="0" quotePrefix="0" xfId="0">
      <alignment horizontal="right" vertical="center"/>
    </xf>
    <xf numFmtId="164" fontId="8" fillId="6" borderId="5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4" fontId="10" fillId="7" borderId="4" applyAlignment="1" pivotButton="0" quotePrefix="0" xfId="0">
      <alignment horizontal="right" vertical="center"/>
    </xf>
    <xf numFmtId="0" fontId="11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left" vertical="center"/>
    </xf>
    <xf numFmtId="164" fontId="11" fillId="8" borderId="4" applyAlignment="1" pivotButton="0" quotePrefix="0" xfId="0">
      <alignment horizontal="right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/>
    </xf>
    <xf numFmtId="164" fontId="12" fillId="4" borderId="4" applyAlignment="1" pivotButton="0" quotePrefix="0" xfId="0">
      <alignment horizontal="right" vertical="center"/>
    </xf>
    <xf numFmtId="0" fontId="13" fillId="2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164" fontId="14" fillId="7" borderId="4" applyAlignment="1" pivotButton="0" quotePrefix="0" xfId="0">
      <alignment horizontal="right" vertical="center"/>
    </xf>
    <xf numFmtId="164" fontId="15" fillId="8" borderId="4" applyAlignment="1" pivotButton="0" quotePrefix="0" xfId="0">
      <alignment horizontal="right" vertical="center"/>
    </xf>
    <xf numFmtId="0" fontId="16" fillId="6" borderId="5" pivotButton="0" quotePrefix="0" xfId="0"/>
    <xf numFmtId="0" fontId="16" fillId="6" borderId="5" applyAlignment="1" pivotButton="0" quotePrefix="0" xfId="0">
      <alignment horizontal="center" vertical="center"/>
    </xf>
    <xf numFmtId="164" fontId="16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  <col width="40" customWidth="1" min="5" max="5"/>
    <col width="23" customWidth="1" min="6" max="6"/>
    <col width="36" customWidth="1" min="7" max="7"/>
  </cols>
  <sheetData>
    <row r="1" ht="36" customHeight="1">
      <c r="A1" s="1" t="inlineStr">
        <is>
          <t>BÁO CÁO VẬN HÀNH &amp; LƯƠNG THƯỞNG — MANAGER A</t>
        </is>
      </c>
    </row>
    <row r="2" ht="20" customHeight="1">
      <c r="A2" s="2" t="inlineStr">
        <is>
          <t>Kỳ báo cáo: Tháng 2026-03 | Ngày kết xuất: 09/09/2026 21:51 | Phụ trách: Manager_A</t>
        </is>
      </c>
    </row>
    <row r="3" ht="10" customHeight="1"/>
    <row r="4" ht="20" customHeight="1">
      <c r="A4" s="3" t="inlineStr">
        <is>
          <t>TỔNG NHÂN SỰ</t>
        </is>
      </c>
      <c r="B4" s="3" t="inlineStr">
        <is>
          <t>TỔNG LƯƠNG CƠ BẢN</t>
        </is>
      </c>
      <c r="C4" s="3" t="inlineStr">
        <is>
          <t>TỔNG THƯỞNG</t>
        </is>
      </c>
      <c r="D4" s="3" t="inlineStr">
        <is>
          <t>TỔNG PHẠT</t>
        </is>
      </c>
      <c r="E4" s="3" t="inlineStr">
        <is>
          <t>TỔNG LƯƠNG THỰC NHẬN</t>
        </is>
      </c>
    </row>
    <row r="5" ht="30" customHeight="1">
      <c r="A5" s="4" t="n">
        <v>62</v>
      </c>
      <c r="B5" s="5">
        <f>SUM('Chi Tiết Nhân Sự'!E2:E63)</f>
        <v/>
      </c>
      <c r="C5" s="5">
        <f>SUM('Chi Tiết Nhân Sự'!F2:F63)</f>
        <v/>
      </c>
      <c r="D5" s="5">
        <f>SUM('Chi Tiết Nhân Sự'!G2:G63)</f>
        <v/>
      </c>
      <c r="E5" s="5">
        <f>SUM('Chi Tiết Nhân Sự'!H2:H63)</f>
        <v/>
      </c>
    </row>
    <row r="6" ht="14" customHeight="1"/>
    <row r="7">
      <c r="A7" s="6" t="inlineStr">
        <is>
          <t>I. BẢNG PHÂN BỔ CHI TIẾT THEO PHÒNG BAN QUẢN LÝ</t>
        </is>
      </c>
    </row>
    <row r="8" ht="25" customHeight="1">
      <c r="A8" s="7" t="inlineStr">
        <is>
          <t>Phòng Ban</t>
        </is>
      </c>
      <c r="B8" s="7" t="inlineStr">
        <is>
          <t>Số Nhân Sự</t>
        </is>
      </c>
      <c r="C8" s="7" t="inlineStr">
        <is>
          <t>Tổng Lương Cơ Bản</t>
        </is>
      </c>
      <c r="D8" s="7" t="inlineStr">
        <is>
          <t>Tổng Thưởng</t>
        </is>
      </c>
      <c r="E8" s="7" t="inlineStr">
        <is>
          <t>Tổng Phạt</t>
        </is>
      </c>
      <c r="F8" s="7" t="inlineStr">
        <is>
          <t>Tổng Lương Thực Nhận</t>
        </is>
      </c>
      <c r="G8" s="7" t="inlineStr">
        <is>
          <t>Thực Nhận TB/Người</t>
        </is>
      </c>
    </row>
    <row r="9" ht="20" customHeight="1">
      <c r="A9" s="8" t="inlineStr">
        <is>
          <t>Finance</t>
        </is>
      </c>
      <c r="B9" s="9" t="n">
        <v>18</v>
      </c>
      <c r="C9" s="10" t="n">
        <v>364024554</v>
      </c>
      <c r="D9" s="10" t="n">
        <v>38876924</v>
      </c>
      <c r="E9" s="10" t="n">
        <v>15764535</v>
      </c>
      <c r="F9" s="10" t="n">
        <v>387136943</v>
      </c>
      <c r="G9" s="10" t="n">
        <v>21507607.94444444</v>
      </c>
    </row>
    <row r="10" ht="20" customHeight="1">
      <c r="A10" s="11" t="inlineStr">
        <is>
          <t>HR</t>
        </is>
      </c>
      <c r="B10" s="12" t="n">
        <v>19</v>
      </c>
      <c r="C10" s="13" t="n">
        <v>364134313</v>
      </c>
      <c r="D10" s="13" t="n">
        <v>59302139</v>
      </c>
      <c r="E10" s="13" t="n">
        <v>21176162</v>
      </c>
      <c r="F10" s="13" t="n">
        <v>402260290</v>
      </c>
      <c r="G10" s="13" t="n">
        <v>21171594.21052632</v>
      </c>
    </row>
    <row r="11" ht="20" customHeight="1">
      <c r="A11" s="8" t="inlineStr">
        <is>
          <t>Operations</t>
        </is>
      </c>
      <c r="B11" s="9" t="n">
        <v>13</v>
      </c>
      <c r="C11" s="10" t="n">
        <v>217259911</v>
      </c>
      <c r="D11" s="10" t="n">
        <v>30762595</v>
      </c>
      <c r="E11" s="10" t="n">
        <v>11781292</v>
      </c>
      <c r="F11" s="10" t="n">
        <v>236241214</v>
      </c>
      <c r="G11" s="10" t="n">
        <v>18172401.07692308</v>
      </c>
    </row>
    <row r="12" ht="20" customHeight="1">
      <c r="A12" s="11" t="inlineStr">
        <is>
          <t>Sales</t>
        </is>
      </c>
      <c r="B12" s="12" t="n">
        <v>12</v>
      </c>
      <c r="C12" s="13" t="n">
        <v>213767853</v>
      </c>
      <c r="D12" s="13" t="n">
        <v>30414727</v>
      </c>
      <c r="E12" s="13" t="n">
        <v>10446527</v>
      </c>
      <c r="F12" s="13" t="n">
        <v>233736053</v>
      </c>
      <c r="G12" s="13" t="n">
        <v>19478004.41666667</v>
      </c>
    </row>
    <row r="13" ht="22" customHeight="1">
      <c r="A13" s="14" t="inlineStr">
        <is>
          <t>TỔNG CỘNG</t>
        </is>
      </c>
      <c r="B13" s="15">
        <f>SUM(B9:B12)</f>
        <v/>
      </c>
      <c r="C13" s="16">
        <f>SUM(C9:C12)</f>
        <v/>
      </c>
      <c r="D13" s="16">
        <f>SUM(D9:D12)</f>
        <v/>
      </c>
      <c r="E13" s="16">
        <f>SUM(E9:E12)</f>
        <v/>
      </c>
      <c r="F13" s="16">
        <f>SUM(F9:F12)</f>
        <v/>
      </c>
      <c r="G13" s="16">
        <f>F13/B13</f>
        <v/>
      </c>
    </row>
    <row r="14"/>
    <row r="15">
      <c r="A15" s="17" t="inlineStr">
        <is>
          <t>II. DANH SÁCH NHÂN SỰ CẦN MANAGER KIỂM TRA &amp; RÀ SOÁT</t>
        </is>
      </c>
    </row>
    <row r="16" ht="24" customHeight="1">
      <c r="A16" s="18" t="inlineStr">
        <is>
          <t>Mã NV</t>
        </is>
      </c>
      <c r="B16" s="18" t="inlineStr">
        <is>
          <t>Họ &amp; Tên</t>
        </is>
      </c>
      <c r="C16" s="18" t="inlineStr">
        <is>
          <t>Phòng Ban</t>
        </is>
      </c>
      <c r="D16" s="18" t="inlineStr">
        <is>
          <t>Thưởng (VND)</t>
        </is>
      </c>
      <c r="E16" s="18" t="inlineStr">
        <is>
          <t>Phạt (VND)</t>
        </is>
      </c>
      <c r="F16" s="18" t="inlineStr">
        <is>
          <t>Lương Thực Nhận</t>
        </is>
      </c>
      <c r="G16" s="18" t="inlineStr">
        <is>
          <t>Nội Dung Lưu Ý &amp; Khuyến Nghị</t>
        </is>
      </c>
    </row>
    <row r="17" ht="20" customHeight="1">
      <c r="A17" s="19" t="inlineStr">
        <is>
          <t>E006</t>
        </is>
      </c>
      <c r="B17" s="20" t="inlineStr">
        <is>
          <t>Employee_6</t>
        </is>
      </c>
      <c r="C17" s="19" t="inlineStr">
        <is>
          <t>HR</t>
        </is>
      </c>
      <c r="D17" s="21" t="n">
        <v>1002897</v>
      </c>
      <c r="E17" s="21" t="n">
        <v>1557934</v>
      </c>
      <c r="F17" s="21" t="n">
        <v>18032995</v>
      </c>
      <c r="G17" s="20" t="inlineStr">
        <is>
          <t>Mức phạt vượt trần cảnh báo</t>
        </is>
      </c>
    </row>
    <row r="18" ht="20" customHeight="1">
      <c r="A18" s="22" t="inlineStr">
        <is>
          <t>E012</t>
        </is>
      </c>
      <c r="B18" s="23" t="inlineStr">
        <is>
          <t>Employee_12</t>
        </is>
      </c>
      <c r="C18" s="22" t="inlineStr">
        <is>
          <t>Finance</t>
        </is>
      </c>
      <c r="D18" s="24" t="n">
        <v>4015745</v>
      </c>
      <c r="E18" s="24" t="n">
        <v>923730</v>
      </c>
      <c r="F18" s="24" t="n">
        <v>26842362</v>
      </c>
      <c r="G18" s="23" t="inlineStr">
        <is>
          <t>Mức thưởng xuất sắc vượt trội</t>
        </is>
      </c>
    </row>
    <row r="19" ht="20" customHeight="1">
      <c r="A19" s="19" t="inlineStr">
        <is>
          <t>E015</t>
        </is>
      </c>
      <c r="B19" s="20" t="inlineStr">
        <is>
          <t>Employee_15</t>
        </is>
      </c>
      <c r="C19" s="19" t="inlineStr">
        <is>
          <t>Sales</t>
        </is>
      </c>
      <c r="D19" s="21" t="n">
        <v>1251560</v>
      </c>
      <c r="E19" s="21" t="n">
        <v>1701088</v>
      </c>
      <c r="F19" s="21" t="n">
        <v>12641585</v>
      </c>
      <c r="G19" s="20" t="inlineStr">
        <is>
          <t>Mức phạt vượt trần cảnh báo</t>
        </is>
      </c>
    </row>
    <row r="20" ht="20" customHeight="1">
      <c r="A20" s="25" t="inlineStr">
        <is>
          <t>E021</t>
        </is>
      </c>
      <c r="B20" s="26" t="inlineStr">
        <is>
          <t>Employee_21</t>
        </is>
      </c>
      <c r="C20" s="25" t="inlineStr">
        <is>
          <t>HR</t>
        </is>
      </c>
      <c r="D20" s="27" t="n">
        <v>3426893</v>
      </c>
      <c r="E20" s="27" t="n">
        <v>944774</v>
      </c>
      <c r="F20" s="27" t="n">
        <v>10571901</v>
      </c>
      <c r="G20" s="26" t="inlineStr">
        <is>
          <t>Mức phạt vượt trần cảnh báo</t>
        </is>
      </c>
    </row>
    <row r="21" ht="20" customHeight="1">
      <c r="A21" s="19" t="inlineStr">
        <is>
          <t>E026</t>
        </is>
      </c>
      <c r="B21" s="20" t="inlineStr">
        <is>
          <t>Employee_26</t>
        </is>
      </c>
      <c r="C21" s="19" t="inlineStr">
        <is>
          <t>HR</t>
        </is>
      </c>
      <c r="D21" s="21" t="n">
        <v>4991591</v>
      </c>
      <c r="E21" s="21" t="n">
        <v>1570678</v>
      </c>
      <c r="F21" s="21" t="n">
        <v>21742652</v>
      </c>
      <c r="G21" s="20" t="inlineStr">
        <is>
          <t>Thưởng và Phạt đều cao bất thường</t>
        </is>
      </c>
    </row>
    <row r="22" ht="20" customHeight="1">
      <c r="A22" s="19" t="inlineStr">
        <is>
          <t>E031</t>
        </is>
      </c>
      <c r="B22" s="20" t="inlineStr">
        <is>
          <t>Employee_31</t>
        </is>
      </c>
      <c r="C22" s="19" t="inlineStr">
        <is>
          <t>HR</t>
        </is>
      </c>
      <c r="D22" s="21" t="n">
        <v>4925144</v>
      </c>
      <c r="E22" s="21" t="n">
        <v>1993943</v>
      </c>
      <c r="F22" s="21" t="n">
        <v>30231680</v>
      </c>
      <c r="G22" s="20" t="inlineStr">
        <is>
          <t>Thưởng và Phạt đều cao bất thường</t>
        </is>
      </c>
    </row>
    <row r="23" ht="20" customHeight="1">
      <c r="A23" s="19" t="inlineStr">
        <is>
          <t>E032</t>
        </is>
      </c>
      <c r="B23" s="20" t="inlineStr">
        <is>
          <t>Employee_32</t>
        </is>
      </c>
      <c r="C23" s="19" t="inlineStr">
        <is>
          <t>Finance</t>
        </is>
      </c>
      <c r="D23" s="21" t="n">
        <v>337487</v>
      </c>
      <c r="E23" s="21" t="n">
        <v>1600355</v>
      </c>
      <c r="F23" s="21" t="n">
        <v>26072772</v>
      </c>
      <c r="G23" s="20" t="inlineStr">
        <is>
          <t>Mức phạt vượt trần cảnh báo</t>
        </is>
      </c>
    </row>
    <row r="24" ht="20" customHeight="1">
      <c r="A24" s="22" t="inlineStr">
        <is>
          <t>E042</t>
        </is>
      </c>
      <c r="B24" s="23" t="inlineStr">
        <is>
          <t>Employee_42</t>
        </is>
      </c>
      <c r="C24" s="22" t="inlineStr">
        <is>
          <t>HR</t>
        </is>
      </c>
      <c r="D24" s="24" t="n">
        <v>4607188</v>
      </c>
      <c r="E24" s="24" t="n">
        <v>274754</v>
      </c>
      <c r="F24" s="24" t="n">
        <v>21293354</v>
      </c>
      <c r="G24" s="23" t="inlineStr">
        <is>
          <t>Mức thưởng xuất sắc vượt trội</t>
        </is>
      </c>
    </row>
    <row r="25" ht="20" customHeight="1">
      <c r="A25" s="22" t="inlineStr">
        <is>
          <t>E056</t>
        </is>
      </c>
      <c r="B25" s="23" t="inlineStr">
        <is>
          <t>Employee_56</t>
        </is>
      </c>
      <c r="C25" s="22" t="inlineStr">
        <is>
          <t>HR</t>
        </is>
      </c>
      <c r="D25" s="24" t="n">
        <v>4950792</v>
      </c>
      <c r="E25" s="24" t="n">
        <v>696243</v>
      </c>
      <c r="F25" s="24" t="n">
        <v>29108643</v>
      </c>
      <c r="G25" s="23" t="inlineStr">
        <is>
          <t>Mức thưởng xuất sắc vượt trội</t>
        </is>
      </c>
    </row>
    <row r="26" ht="20" customHeight="1">
      <c r="A26" s="19" t="inlineStr">
        <is>
          <t>E057</t>
        </is>
      </c>
      <c r="B26" s="20" t="inlineStr">
        <is>
          <t>Employee_57</t>
        </is>
      </c>
      <c r="C26" s="19" t="inlineStr">
        <is>
          <t>Operations</t>
        </is>
      </c>
      <c r="D26" s="21" t="n">
        <v>4411997</v>
      </c>
      <c r="E26" s="21" t="n">
        <v>1909334</v>
      </c>
      <c r="F26" s="21" t="n">
        <v>13848432</v>
      </c>
      <c r="G26" s="20" t="inlineStr">
        <is>
          <t>Thưởng và Phạt đều cao bất thường</t>
        </is>
      </c>
    </row>
    <row r="27" ht="20" customHeight="1">
      <c r="A27" s="19" t="inlineStr">
        <is>
          <t>E076</t>
        </is>
      </c>
      <c r="B27" s="20" t="inlineStr">
        <is>
          <t>Employee_76</t>
        </is>
      </c>
      <c r="C27" s="19" t="inlineStr">
        <is>
          <t>Sales</t>
        </is>
      </c>
      <c r="D27" s="21" t="n">
        <v>4166850</v>
      </c>
      <c r="E27" s="21" t="n">
        <v>1746589</v>
      </c>
      <c r="F27" s="21" t="n">
        <v>30767886</v>
      </c>
      <c r="G27" s="20" t="inlineStr">
        <is>
          <t>Thưởng và Phạt đều cao bất thường</t>
        </is>
      </c>
    </row>
    <row r="28" ht="20" customHeight="1">
      <c r="A28" s="19" t="inlineStr">
        <is>
          <t>E084</t>
        </is>
      </c>
      <c r="B28" s="20" t="inlineStr">
        <is>
          <t>Employee_84</t>
        </is>
      </c>
      <c r="C28" s="19" t="inlineStr">
        <is>
          <t>HR</t>
        </is>
      </c>
      <c r="D28" s="21" t="n">
        <v>3333729</v>
      </c>
      <c r="E28" s="21" t="n">
        <v>1773654</v>
      </c>
      <c r="F28" s="21" t="n">
        <v>17130447</v>
      </c>
      <c r="G28" s="20" t="inlineStr">
        <is>
          <t>Mức phạt vượt trần cảnh báo</t>
        </is>
      </c>
    </row>
    <row r="29" ht="20" customHeight="1">
      <c r="A29" s="22" t="inlineStr">
        <is>
          <t>E091</t>
        </is>
      </c>
      <c r="B29" s="23" t="inlineStr">
        <is>
          <t>Employee_91</t>
        </is>
      </c>
      <c r="C29" s="22" t="inlineStr">
        <is>
          <t>Sales</t>
        </is>
      </c>
      <c r="D29" s="24" t="n">
        <v>4509267</v>
      </c>
      <c r="E29" s="24" t="n">
        <v>284508</v>
      </c>
      <c r="F29" s="24" t="n">
        <v>20103340</v>
      </c>
      <c r="G29" s="23" t="inlineStr">
        <is>
          <t>Mức thưởng xuất sắc vượt trội</t>
        </is>
      </c>
    </row>
    <row r="30" ht="20" customHeight="1">
      <c r="A30" s="25" t="inlineStr">
        <is>
          <t>E098</t>
        </is>
      </c>
      <c r="B30" s="26" t="inlineStr">
        <is>
          <t>Employee_98</t>
        </is>
      </c>
      <c r="C30" s="25" t="inlineStr">
        <is>
          <t>Operations</t>
        </is>
      </c>
      <c r="D30" s="27" t="n">
        <v>1779272</v>
      </c>
      <c r="E30" s="27" t="n">
        <v>1345751</v>
      </c>
      <c r="F30" s="27" t="n">
        <v>11509570</v>
      </c>
      <c r="G30" s="26" t="inlineStr">
        <is>
          <t>Mức phạt vượt trần cảnh báo</t>
        </is>
      </c>
    </row>
    <row r="31" ht="20" customHeight="1">
      <c r="A31" s="22" t="inlineStr">
        <is>
          <t>E104</t>
        </is>
      </c>
      <c r="B31" s="23" t="inlineStr">
        <is>
          <t>Employee_104</t>
        </is>
      </c>
      <c r="C31" s="22" t="inlineStr">
        <is>
          <t>Finance</t>
        </is>
      </c>
      <c r="D31" s="24" t="n">
        <v>4939656</v>
      </c>
      <c r="E31" s="24" t="n">
        <v>678997</v>
      </c>
      <c r="F31" s="24" t="n">
        <v>20244318</v>
      </c>
      <c r="G31" s="23" t="inlineStr">
        <is>
          <t>Mức thưởng xuất sắc vượt trội</t>
        </is>
      </c>
    </row>
    <row r="32" ht="20" customHeight="1">
      <c r="A32" s="22" t="inlineStr">
        <is>
          <t>E122</t>
        </is>
      </c>
      <c r="B32" s="23" t="inlineStr">
        <is>
          <t>Employee_122</t>
        </is>
      </c>
      <c r="C32" s="22" t="inlineStr">
        <is>
          <t>HR</t>
        </is>
      </c>
      <c r="D32" s="24" t="n">
        <v>4044897</v>
      </c>
      <c r="E32" s="24" t="n">
        <v>470275</v>
      </c>
      <c r="F32" s="24" t="n">
        <v>16766505</v>
      </c>
      <c r="G32" s="23" t="inlineStr">
        <is>
          <t>Mức thưởng xuất sắc vượt trội</t>
        </is>
      </c>
    </row>
    <row r="33" ht="20" customHeight="1">
      <c r="A33" s="25" t="inlineStr">
        <is>
          <t>E131</t>
        </is>
      </c>
      <c r="B33" s="26" t="inlineStr">
        <is>
          <t>Employee_131</t>
        </is>
      </c>
      <c r="C33" s="25" t="inlineStr">
        <is>
          <t>HR</t>
        </is>
      </c>
      <c r="D33" s="27" t="n">
        <v>417438</v>
      </c>
      <c r="E33" s="27" t="n">
        <v>1413414</v>
      </c>
      <c r="F33" s="27" t="n">
        <v>12285823</v>
      </c>
      <c r="G33" s="26" t="inlineStr">
        <is>
          <t>Mức phạt vượt trần cảnh báo</t>
        </is>
      </c>
    </row>
    <row r="34" ht="20" customHeight="1">
      <c r="A34" s="19" t="inlineStr">
        <is>
          <t>E136</t>
        </is>
      </c>
      <c r="B34" s="20" t="inlineStr">
        <is>
          <t>Employee_136</t>
        </is>
      </c>
      <c r="C34" s="19" t="inlineStr">
        <is>
          <t>Sales</t>
        </is>
      </c>
      <c r="D34" s="21" t="n">
        <v>2528488</v>
      </c>
      <c r="E34" s="21" t="n">
        <v>1982488</v>
      </c>
      <c r="F34" s="21" t="n">
        <v>15405301</v>
      </c>
      <c r="G34" s="20" t="inlineStr">
        <is>
          <t>Mức phạt vượt trần cảnh báo</t>
        </is>
      </c>
    </row>
    <row r="35" ht="20" customHeight="1">
      <c r="A35" s="25" t="inlineStr">
        <is>
          <t>E141</t>
        </is>
      </c>
      <c r="B35" s="26" t="inlineStr">
        <is>
          <t>Employee_141</t>
        </is>
      </c>
      <c r="C35" s="25" t="inlineStr">
        <is>
          <t>Operations</t>
        </is>
      </c>
      <c r="D35" s="27" t="n">
        <v>2626142</v>
      </c>
      <c r="E35" s="27" t="n">
        <v>1207454</v>
      </c>
      <c r="F35" s="27" t="n">
        <v>12031323</v>
      </c>
      <c r="G35" s="26" t="inlineStr">
        <is>
          <t>Mức phạt vượt trần cảnh báo</t>
        </is>
      </c>
    </row>
    <row r="36" ht="20" customHeight="1">
      <c r="A36" s="22" t="inlineStr">
        <is>
          <t>E145</t>
        </is>
      </c>
      <c r="B36" s="23" t="inlineStr">
        <is>
          <t>Employee_145</t>
        </is>
      </c>
      <c r="C36" s="22" t="inlineStr">
        <is>
          <t>HR</t>
        </is>
      </c>
      <c r="D36" s="24" t="n">
        <v>4939810</v>
      </c>
      <c r="E36" s="24" t="n">
        <v>839804</v>
      </c>
      <c r="F36" s="24" t="n">
        <v>26718884</v>
      </c>
      <c r="G36" s="23" t="inlineStr">
        <is>
          <t>Mức thưởng xuất sắc vượt trội</t>
        </is>
      </c>
    </row>
    <row r="37" ht="20" customHeight="1">
      <c r="A37" s="19" t="inlineStr">
        <is>
          <t>E148</t>
        </is>
      </c>
      <c r="B37" s="20" t="inlineStr">
        <is>
          <t>Employee_148</t>
        </is>
      </c>
      <c r="C37" s="19" t="inlineStr">
        <is>
          <t>HR</t>
        </is>
      </c>
      <c r="D37" s="21" t="n">
        <v>2945238</v>
      </c>
      <c r="E37" s="21" t="n">
        <v>1525424</v>
      </c>
      <c r="F37" s="21" t="n">
        <v>21142902</v>
      </c>
      <c r="G37" s="20" t="inlineStr">
        <is>
          <t>Mức phạt vượt trần cảnh báo</t>
        </is>
      </c>
    </row>
    <row r="38" ht="20" customHeight="1">
      <c r="A38" s="22" t="inlineStr">
        <is>
          <t>E151</t>
        </is>
      </c>
      <c r="B38" s="23" t="inlineStr">
        <is>
          <t>Employee_151</t>
        </is>
      </c>
      <c r="C38" s="22" t="inlineStr">
        <is>
          <t>HR</t>
        </is>
      </c>
      <c r="D38" s="24" t="n">
        <v>4144954</v>
      </c>
      <c r="E38" s="24" t="n">
        <v>972980</v>
      </c>
      <c r="F38" s="24" t="n">
        <v>32242438</v>
      </c>
      <c r="G38" s="23" t="inlineStr">
        <is>
          <t>Mức thưởng xuất sắc vượt trội</t>
        </is>
      </c>
    </row>
    <row r="39" ht="20" customHeight="1">
      <c r="A39" s="22" t="inlineStr">
        <is>
          <t>E157</t>
        </is>
      </c>
      <c r="B39" s="23" t="inlineStr">
        <is>
          <t>Employee_157</t>
        </is>
      </c>
      <c r="C39" s="22" t="inlineStr">
        <is>
          <t>Operations</t>
        </is>
      </c>
      <c r="D39" s="24" t="n">
        <v>4868155</v>
      </c>
      <c r="E39" s="24" t="n">
        <v>1162485</v>
      </c>
      <c r="F39" s="24" t="n">
        <v>27231696</v>
      </c>
      <c r="G39" s="23" t="inlineStr">
        <is>
          <t>Mức thưởng xuất sắc vượt trội</t>
        </is>
      </c>
    </row>
    <row r="40" ht="20" customHeight="1">
      <c r="A40" s="19" t="inlineStr">
        <is>
          <t>E182</t>
        </is>
      </c>
      <c r="B40" s="20" t="inlineStr">
        <is>
          <t>Employee_182</t>
        </is>
      </c>
      <c r="C40" s="19" t="inlineStr">
        <is>
          <t>HR</t>
        </is>
      </c>
      <c r="D40" s="21" t="n">
        <v>3769162</v>
      </c>
      <c r="E40" s="21" t="n">
        <v>1898564</v>
      </c>
      <c r="F40" s="21" t="n">
        <v>19023955</v>
      </c>
      <c r="G40" s="20" t="inlineStr">
        <is>
          <t>Mức phạt vượt trần cảnh báo</t>
        </is>
      </c>
    </row>
    <row r="41" ht="20" customHeight="1">
      <c r="A41" s="22" t="inlineStr">
        <is>
          <t>E194</t>
        </is>
      </c>
      <c r="B41" s="23" t="inlineStr">
        <is>
          <t>Employee_194</t>
        </is>
      </c>
      <c r="C41" s="22" t="inlineStr">
        <is>
          <t>Finance</t>
        </is>
      </c>
      <c r="D41" s="24" t="n">
        <v>4787074</v>
      </c>
      <c r="E41" s="24" t="n">
        <v>873605</v>
      </c>
      <c r="F41" s="24" t="n">
        <v>19985465</v>
      </c>
      <c r="G41" s="23" t="inlineStr">
        <is>
          <t>Mức thưởng xuất sắc vượt trội</t>
        </is>
      </c>
    </row>
    <row r="42" ht="20" customHeight="1">
      <c r="A42" s="19" t="inlineStr">
        <is>
          <t>E198</t>
        </is>
      </c>
      <c r="B42" s="20" t="inlineStr">
        <is>
          <t>Employee_198</t>
        </is>
      </c>
      <c r="C42" s="19" t="inlineStr">
        <is>
          <t>Finance</t>
        </is>
      </c>
      <c r="D42" s="21" t="n">
        <v>869595</v>
      </c>
      <c r="E42" s="21" t="n">
        <v>1617955</v>
      </c>
      <c r="F42" s="21" t="n">
        <v>15342483</v>
      </c>
      <c r="G42" s="20" t="inlineStr">
        <is>
          <t>Mức phạt vượt trần cảnh báo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5" customWidth="1" min="4" max="4"/>
    <col width="21" customWidth="1" min="5" max="5"/>
    <col width="21" customWidth="1" min="6" max="6"/>
    <col width="21" customWidth="1" min="7" max="7"/>
    <col width="21" customWidth="1" min="8" max="8"/>
    <col width="12" customWidth="1" min="9" max="9"/>
    <col width="36" customWidth="1" min="10" max="10"/>
  </cols>
  <sheetData>
    <row r="1" ht="28" customHeight="1">
      <c r="A1" s="28" t="inlineStr">
        <is>
          <t>STT</t>
        </is>
      </c>
      <c r="B1" s="28" t="inlineStr">
        <is>
          <t>Mã NV</t>
        </is>
      </c>
      <c r="C1" s="28" t="inlineStr">
        <is>
          <t>Họ Tên</t>
        </is>
      </c>
      <c r="D1" s="28" t="inlineStr">
        <is>
          <t>Phòng Ban</t>
        </is>
      </c>
      <c r="E1" s="28" t="inlineStr">
        <is>
          <t>Lương Cơ Bản</t>
        </is>
      </c>
      <c r="F1" s="28" t="inlineStr">
        <is>
          <t>Thưởng</t>
        </is>
      </c>
      <c r="G1" s="28" t="inlineStr">
        <is>
          <t>Phạt</t>
        </is>
      </c>
      <c r="H1" s="28" t="inlineStr">
        <is>
          <t>Lương Thực Nhận</t>
        </is>
      </c>
      <c r="I1" s="28" t="inlineStr">
        <is>
          <t>Kỳ</t>
        </is>
      </c>
      <c r="J1" s="28" t="inlineStr">
        <is>
          <t>Ghi Chú Kiểm Toán</t>
        </is>
      </c>
    </row>
    <row r="2" ht="20" customHeight="1">
      <c r="A2" s="29" t="n">
        <v>1</v>
      </c>
      <c r="B2" s="29" t="inlineStr">
        <is>
          <t>E002</t>
        </is>
      </c>
      <c r="C2" s="11" t="inlineStr">
        <is>
          <t>Employee_2</t>
        </is>
      </c>
      <c r="D2" s="29" t="inlineStr">
        <is>
          <t>Sales</t>
        </is>
      </c>
      <c r="E2" s="13" t="n">
        <v>17872907</v>
      </c>
      <c r="F2" s="13" t="n">
        <v>1858885</v>
      </c>
      <c r="G2" s="13" t="n">
        <v>848090</v>
      </c>
      <c r="H2" s="13">
        <f>E2+F2-G2</f>
        <v/>
      </c>
      <c r="I2" s="29" t="inlineStr">
        <is>
          <t>2026-03</t>
        </is>
      </c>
      <c r="J2" s="11" t="inlineStr">
        <is>
          <t>Hợp lệ</t>
        </is>
      </c>
    </row>
    <row r="3" ht="20" customHeight="1">
      <c r="A3" s="30" t="n">
        <v>2</v>
      </c>
      <c r="B3" s="30" t="inlineStr">
        <is>
          <t>E006</t>
        </is>
      </c>
      <c r="C3" s="8" t="inlineStr">
        <is>
          <t>Employee_6</t>
        </is>
      </c>
      <c r="D3" s="30" t="inlineStr">
        <is>
          <t>HR</t>
        </is>
      </c>
      <c r="E3" s="10" t="n">
        <v>18588032</v>
      </c>
      <c r="F3" s="10" t="n">
        <v>1002897</v>
      </c>
      <c r="G3" s="31" t="n">
        <v>1557934</v>
      </c>
      <c r="H3" s="10">
        <f>E3+F3-G3</f>
        <v/>
      </c>
      <c r="I3" s="30" t="inlineStr">
        <is>
          <t>2026-03</t>
        </is>
      </c>
      <c r="J3" s="8" t="inlineStr">
        <is>
          <t>Mức phạt vượt trần cảnh báo</t>
        </is>
      </c>
    </row>
    <row r="4" ht="20" customHeight="1">
      <c r="A4" s="29" t="n">
        <v>3</v>
      </c>
      <c r="B4" s="29" t="inlineStr">
        <is>
          <t>E012</t>
        </is>
      </c>
      <c r="C4" s="11" t="inlineStr">
        <is>
          <t>Employee_12</t>
        </is>
      </c>
      <c r="D4" s="29" t="inlineStr">
        <is>
          <t>Finance</t>
        </is>
      </c>
      <c r="E4" s="13" t="n">
        <v>23750347</v>
      </c>
      <c r="F4" s="32" t="n">
        <v>4015745</v>
      </c>
      <c r="G4" s="13" t="n">
        <v>923730</v>
      </c>
      <c r="H4" s="13">
        <f>E4+F4-G4</f>
        <v/>
      </c>
      <c r="I4" s="29" t="inlineStr">
        <is>
          <t>2026-03</t>
        </is>
      </c>
      <c r="J4" s="11" t="inlineStr">
        <is>
          <t>Mức thưởng xuất sắc vượt trội</t>
        </is>
      </c>
    </row>
    <row r="5" ht="20" customHeight="1">
      <c r="A5" s="30" t="n">
        <v>4</v>
      </c>
      <c r="B5" s="30" t="inlineStr">
        <is>
          <t>E015</t>
        </is>
      </c>
      <c r="C5" s="8" t="inlineStr">
        <is>
          <t>Employee_15</t>
        </is>
      </c>
      <c r="D5" s="30" t="inlineStr">
        <is>
          <t>Sales</t>
        </is>
      </c>
      <c r="E5" s="10" t="n">
        <v>13091113</v>
      </c>
      <c r="F5" s="10" t="n">
        <v>1251560</v>
      </c>
      <c r="G5" s="31" t="n">
        <v>1701088</v>
      </c>
      <c r="H5" s="10">
        <f>E5+F5-G5</f>
        <v/>
      </c>
      <c r="I5" s="30" t="inlineStr">
        <is>
          <t>2026-03</t>
        </is>
      </c>
      <c r="J5" s="8" t="inlineStr">
        <is>
          <t>Mức phạt vượt trần cảnh báo</t>
        </is>
      </c>
    </row>
    <row r="6" ht="20" customHeight="1">
      <c r="A6" s="29" t="n">
        <v>5</v>
      </c>
      <c r="B6" s="29" t="inlineStr">
        <is>
          <t>E019</t>
        </is>
      </c>
      <c r="C6" s="11" t="inlineStr">
        <is>
          <t>Employee_19</t>
        </is>
      </c>
      <c r="D6" s="29" t="inlineStr">
        <is>
          <t>Sales</t>
        </is>
      </c>
      <c r="E6" s="13" t="n">
        <v>14972205</v>
      </c>
      <c r="F6" s="13" t="n">
        <v>1770207</v>
      </c>
      <c r="G6" s="13" t="n">
        <v>555003</v>
      </c>
      <c r="H6" s="13">
        <f>E6+F6-G6</f>
        <v/>
      </c>
      <c r="I6" s="29" t="inlineStr">
        <is>
          <t>2026-03</t>
        </is>
      </c>
      <c r="J6" s="11" t="inlineStr">
        <is>
          <t>Hợp lệ</t>
        </is>
      </c>
    </row>
    <row r="7" ht="20" customHeight="1">
      <c r="A7" s="30" t="n">
        <v>6</v>
      </c>
      <c r="B7" s="30" t="inlineStr">
        <is>
          <t>E020</t>
        </is>
      </c>
      <c r="C7" s="8" t="inlineStr">
        <is>
          <t>Employee_20</t>
        </is>
      </c>
      <c r="D7" s="30" t="inlineStr">
        <is>
          <t>HR</t>
        </is>
      </c>
      <c r="E7" s="10" t="n">
        <v>16048539</v>
      </c>
      <c r="F7" s="10" t="n">
        <v>1458053</v>
      </c>
      <c r="G7" s="10" t="n">
        <v>1157611</v>
      </c>
      <c r="H7" s="10">
        <f>E7+F7-G7</f>
        <v/>
      </c>
      <c r="I7" s="30" t="inlineStr">
        <is>
          <t>2026-03</t>
        </is>
      </c>
      <c r="J7" s="8" t="inlineStr">
        <is>
          <t>Hợp lệ</t>
        </is>
      </c>
    </row>
    <row r="8" ht="20" customHeight="1">
      <c r="A8" s="29" t="n">
        <v>7</v>
      </c>
      <c r="B8" s="29" t="inlineStr">
        <is>
          <t>E021</t>
        </is>
      </c>
      <c r="C8" s="11" t="inlineStr">
        <is>
          <t>Employee_21</t>
        </is>
      </c>
      <c r="D8" s="29" t="inlineStr">
        <is>
          <t>HR</t>
        </is>
      </c>
      <c r="E8" s="13" t="n">
        <v>8089782</v>
      </c>
      <c r="F8" s="13" t="n">
        <v>3426893</v>
      </c>
      <c r="G8" s="13" t="n">
        <v>944774</v>
      </c>
      <c r="H8" s="13">
        <f>E8+F8-G8</f>
        <v/>
      </c>
      <c r="I8" s="29" t="inlineStr">
        <is>
          <t>2026-03</t>
        </is>
      </c>
      <c r="J8" s="11" t="inlineStr">
        <is>
          <t>Mức phạt vượt trần cảnh báo</t>
        </is>
      </c>
    </row>
    <row r="9" ht="20" customHeight="1">
      <c r="A9" s="30" t="n">
        <v>8</v>
      </c>
      <c r="B9" s="30" t="inlineStr">
        <is>
          <t>E026</t>
        </is>
      </c>
      <c r="C9" s="8" t="inlineStr">
        <is>
          <t>Employee_26</t>
        </is>
      </c>
      <c r="D9" s="30" t="inlineStr">
        <is>
          <t>HR</t>
        </is>
      </c>
      <c r="E9" s="10" t="n">
        <v>18321739</v>
      </c>
      <c r="F9" s="32" t="n">
        <v>4991591</v>
      </c>
      <c r="G9" s="31" t="n">
        <v>1570678</v>
      </c>
      <c r="H9" s="10">
        <f>E9+F9-G9</f>
        <v/>
      </c>
      <c r="I9" s="30" t="inlineStr">
        <is>
          <t>2026-03</t>
        </is>
      </c>
      <c r="J9" s="8" t="inlineStr">
        <is>
          <t>Thưởng và Phạt đều cao bất thường</t>
        </is>
      </c>
    </row>
    <row r="10" ht="20" customHeight="1">
      <c r="A10" s="29" t="n">
        <v>9</v>
      </c>
      <c r="B10" s="29" t="inlineStr">
        <is>
          <t>E031</t>
        </is>
      </c>
      <c r="C10" s="11" t="inlineStr">
        <is>
          <t>Employee_31</t>
        </is>
      </c>
      <c r="D10" s="29" t="inlineStr">
        <is>
          <t>HR</t>
        </is>
      </c>
      <c r="E10" s="13" t="n">
        <v>27300479</v>
      </c>
      <c r="F10" s="32" t="n">
        <v>4925144</v>
      </c>
      <c r="G10" s="31" t="n">
        <v>1993943</v>
      </c>
      <c r="H10" s="13">
        <f>E10+F10-G10</f>
        <v/>
      </c>
      <c r="I10" s="29" t="inlineStr">
        <is>
          <t>2026-03</t>
        </is>
      </c>
      <c r="J10" s="11" t="inlineStr">
        <is>
          <t>Thưởng và Phạt đều cao bất thường</t>
        </is>
      </c>
    </row>
    <row r="11" ht="20" customHeight="1">
      <c r="A11" s="30" t="n">
        <v>10</v>
      </c>
      <c r="B11" s="30" t="inlineStr">
        <is>
          <t>E032</t>
        </is>
      </c>
      <c r="C11" s="8" t="inlineStr">
        <is>
          <t>Employee_32</t>
        </is>
      </c>
      <c r="D11" s="30" t="inlineStr">
        <is>
          <t>Finance</t>
        </is>
      </c>
      <c r="E11" s="10" t="n">
        <v>27335640</v>
      </c>
      <c r="F11" s="10" t="n">
        <v>337487</v>
      </c>
      <c r="G11" s="31" t="n">
        <v>1600355</v>
      </c>
      <c r="H11" s="10">
        <f>E11+F11-G11</f>
        <v/>
      </c>
      <c r="I11" s="30" t="inlineStr">
        <is>
          <t>2026-03</t>
        </is>
      </c>
      <c r="J11" s="8" t="inlineStr">
        <is>
          <t>Mức phạt vượt trần cảnh báo</t>
        </is>
      </c>
    </row>
    <row r="12" ht="20" customHeight="1">
      <c r="A12" s="29" t="n">
        <v>11</v>
      </c>
      <c r="B12" s="29" t="inlineStr">
        <is>
          <t>E038</t>
        </is>
      </c>
      <c r="C12" s="11" t="inlineStr">
        <is>
          <t>Employee_38</t>
        </is>
      </c>
      <c r="D12" s="29" t="inlineStr">
        <is>
          <t>Operations</t>
        </is>
      </c>
      <c r="E12" s="13" t="n">
        <v>10954796</v>
      </c>
      <c r="F12" s="13" t="n">
        <v>2638361</v>
      </c>
      <c r="G12" s="13" t="n">
        <v>529318</v>
      </c>
      <c r="H12" s="13">
        <f>E12+F12-G12</f>
        <v/>
      </c>
      <c r="I12" s="29" t="inlineStr">
        <is>
          <t>2026-03</t>
        </is>
      </c>
      <c r="J12" s="11" t="inlineStr">
        <is>
          <t>Hợp lệ</t>
        </is>
      </c>
    </row>
    <row r="13" ht="20" customHeight="1">
      <c r="A13" s="30" t="n">
        <v>12</v>
      </c>
      <c r="B13" s="30" t="inlineStr">
        <is>
          <t>E040</t>
        </is>
      </c>
      <c r="C13" s="8" t="inlineStr">
        <is>
          <t>Employee_40</t>
        </is>
      </c>
      <c r="D13" s="30" t="inlineStr">
        <is>
          <t>Operations</t>
        </is>
      </c>
      <c r="E13" s="10" t="n">
        <v>21866287</v>
      </c>
      <c r="F13" s="10" t="n">
        <v>454696</v>
      </c>
      <c r="G13" s="10" t="n">
        <v>393389</v>
      </c>
      <c r="H13" s="10">
        <f>E13+F13-G13</f>
        <v/>
      </c>
      <c r="I13" s="30" t="inlineStr">
        <is>
          <t>2026-03</t>
        </is>
      </c>
      <c r="J13" s="8" t="inlineStr">
        <is>
          <t>Hợp lệ</t>
        </is>
      </c>
    </row>
    <row r="14" ht="20" customHeight="1">
      <c r="A14" s="29" t="n">
        <v>13</v>
      </c>
      <c r="B14" s="29" t="inlineStr">
        <is>
          <t>E042</t>
        </is>
      </c>
      <c r="C14" s="11" t="inlineStr">
        <is>
          <t>Employee_42</t>
        </is>
      </c>
      <c r="D14" s="29" t="inlineStr">
        <is>
          <t>HR</t>
        </is>
      </c>
      <c r="E14" s="13" t="n">
        <v>16960920</v>
      </c>
      <c r="F14" s="32" t="n">
        <v>4607188</v>
      </c>
      <c r="G14" s="13" t="n">
        <v>274754</v>
      </c>
      <c r="H14" s="13">
        <f>E14+F14-G14</f>
        <v/>
      </c>
      <c r="I14" s="29" t="inlineStr">
        <is>
          <t>2026-03</t>
        </is>
      </c>
      <c r="J14" s="11" t="inlineStr">
        <is>
          <t>Mức thưởng xuất sắc vượt trội</t>
        </is>
      </c>
    </row>
    <row r="15" ht="20" customHeight="1">
      <c r="A15" s="30" t="n">
        <v>14</v>
      </c>
      <c r="B15" s="30" t="inlineStr">
        <is>
          <t>E046</t>
        </is>
      </c>
      <c r="C15" s="8" t="inlineStr">
        <is>
          <t>Employee_46</t>
        </is>
      </c>
      <c r="D15" s="30" t="inlineStr">
        <is>
          <t>HR</t>
        </is>
      </c>
      <c r="E15" s="10" t="n">
        <v>24722706</v>
      </c>
      <c r="F15" s="10" t="n">
        <v>2448312</v>
      </c>
      <c r="G15" s="10" t="n">
        <v>1067181</v>
      </c>
      <c r="H15" s="10">
        <f>E15+F15-G15</f>
        <v/>
      </c>
      <c r="I15" s="30" t="inlineStr">
        <is>
          <t>2026-03</t>
        </is>
      </c>
      <c r="J15" s="8" t="inlineStr">
        <is>
          <t>Hợp lệ</t>
        </is>
      </c>
    </row>
    <row r="16" ht="20" customHeight="1">
      <c r="A16" s="29" t="n">
        <v>15</v>
      </c>
      <c r="B16" s="29" t="inlineStr">
        <is>
          <t>E056</t>
        </is>
      </c>
      <c r="C16" s="11" t="inlineStr">
        <is>
          <t>Employee_56</t>
        </is>
      </c>
      <c r="D16" s="29" t="inlineStr">
        <is>
          <t>HR</t>
        </is>
      </c>
      <c r="E16" s="13" t="n">
        <v>24854094</v>
      </c>
      <c r="F16" s="32" t="n">
        <v>4950792</v>
      </c>
      <c r="G16" s="13" t="n">
        <v>696243</v>
      </c>
      <c r="H16" s="13">
        <f>E16+F16-G16</f>
        <v/>
      </c>
      <c r="I16" s="29" t="inlineStr">
        <is>
          <t>2026-03</t>
        </is>
      </c>
      <c r="J16" s="11" t="inlineStr">
        <is>
          <t>Mức thưởng xuất sắc vượt trội</t>
        </is>
      </c>
    </row>
    <row r="17" ht="20" customHeight="1">
      <c r="A17" s="30" t="n">
        <v>16</v>
      </c>
      <c r="B17" s="30" t="inlineStr">
        <is>
          <t>E057</t>
        </is>
      </c>
      <c r="C17" s="8" t="inlineStr">
        <is>
          <t>Employee_57</t>
        </is>
      </c>
      <c r="D17" s="30" t="inlineStr">
        <is>
          <t>Operations</t>
        </is>
      </c>
      <c r="E17" s="10" t="n">
        <v>11345769</v>
      </c>
      <c r="F17" s="32" t="n">
        <v>4411997</v>
      </c>
      <c r="G17" s="31" t="n">
        <v>1909334</v>
      </c>
      <c r="H17" s="10">
        <f>E17+F17-G17</f>
        <v/>
      </c>
      <c r="I17" s="30" t="inlineStr">
        <is>
          <t>2026-03</t>
        </is>
      </c>
      <c r="J17" s="8" t="inlineStr">
        <is>
          <t>Thưởng và Phạt đều cao bất thường</t>
        </is>
      </c>
    </row>
    <row r="18" ht="20" customHeight="1">
      <c r="A18" s="29" t="n">
        <v>17</v>
      </c>
      <c r="B18" s="29" t="inlineStr">
        <is>
          <t>E062</t>
        </is>
      </c>
      <c r="C18" s="11" t="inlineStr">
        <is>
          <t>Employee_62</t>
        </is>
      </c>
      <c r="D18" s="29" t="inlineStr">
        <is>
          <t>HR</t>
        </is>
      </c>
      <c r="E18" s="13" t="n">
        <v>29178249</v>
      </c>
      <c r="F18" s="13" t="n">
        <v>2410709</v>
      </c>
      <c r="G18" s="13" t="n">
        <v>477073</v>
      </c>
      <c r="H18" s="13">
        <f>E18+F18-G18</f>
        <v/>
      </c>
      <c r="I18" s="29" t="inlineStr">
        <is>
          <t>2026-03</t>
        </is>
      </c>
      <c r="J18" s="11" t="inlineStr">
        <is>
          <t>Hợp lệ</t>
        </is>
      </c>
    </row>
    <row r="19" ht="20" customHeight="1">
      <c r="A19" s="30" t="n">
        <v>18</v>
      </c>
      <c r="B19" s="30" t="inlineStr">
        <is>
          <t>E063</t>
        </is>
      </c>
      <c r="C19" s="8" t="inlineStr">
        <is>
          <t>Employee_63</t>
        </is>
      </c>
      <c r="D19" s="30" t="inlineStr">
        <is>
          <t>Operations</t>
        </is>
      </c>
      <c r="E19" s="10" t="n">
        <v>11303203</v>
      </c>
      <c r="F19" s="10" t="n">
        <v>843115</v>
      </c>
      <c r="G19" s="10" t="n">
        <v>930461</v>
      </c>
      <c r="H19" s="10">
        <f>E19+F19-G19</f>
        <v/>
      </c>
      <c r="I19" s="30" t="inlineStr">
        <is>
          <t>2026-03</t>
        </is>
      </c>
      <c r="J19" s="8" t="inlineStr">
        <is>
          <t>Hợp lệ</t>
        </is>
      </c>
    </row>
    <row r="20" ht="20" customHeight="1">
      <c r="A20" s="29" t="n">
        <v>19</v>
      </c>
      <c r="B20" s="29" t="inlineStr">
        <is>
          <t>E065</t>
        </is>
      </c>
      <c r="C20" s="11" t="inlineStr">
        <is>
          <t>Employee_65</t>
        </is>
      </c>
      <c r="D20" s="29" t="inlineStr">
        <is>
          <t>Finance</t>
        </is>
      </c>
      <c r="E20" s="13" t="n">
        <v>20028033</v>
      </c>
      <c r="F20" s="13" t="n">
        <v>3144394</v>
      </c>
      <c r="G20" s="13" t="n">
        <v>903215</v>
      </c>
      <c r="H20" s="13">
        <f>E20+F20-G20</f>
        <v/>
      </c>
      <c r="I20" s="29" t="inlineStr">
        <is>
          <t>2026-03</t>
        </is>
      </c>
      <c r="J20" s="11" t="inlineStr">
        <is>
          <t>Hợp lệ</t>
        </is>
      </c>
    </row>
    <row r="21" ht="20" customHeight="1">
      <c r="A21" s="30" t="n">
        <v>20</v>
      </c>
      <c r="B21" s="30" t="inlineStr">
        <is>
          <t>E076</t>
        </is>
      </c>
      <c r="C21" s="8" t="inlineStr">
        <is>
          <t>Employee_76</t>
        </is>
      </c>
      <c r="D21" s="30" t="inlineStr">
        <is>
          <t>Sales</t>
        </is>
      </c>
      <c r="E21" s="10" t="n">
        <v>28347625</v>
      </c>
      <c r="F21" s="32" t="n">
        <v>4166850</v>
      </c>
      <c r="G21" s="31" t="n">
        <v>1746589</v>
      </c>
      <c r="H21" s="10">
        <f>E21+F21-G21</f>
        <v/>
      </c>
      <c r="I21" s="30" t="inlineStr">
        <is>
          <t>2026-03</t>
        </is>
      </c>
      <c r="J21" s="8" t="inlineStr">
        <is>
          <t>Thưởng và Phạt đều cao bất thường</t>
        </is>
      </c>
    </row>
    <row r="22" ht="20" customHeight="1">
      <c r="A22" s="29" t="n">
        <v>21</v>
      </c>
      <c r="B22" s="29" t="inlineStr">
        <is>
          <t>E079</t>
        </is>
      </c>
      <c r="C22" s="11" t="inlineStr">
        <is>
          <t>Employee_79</t>
        </is>
      </c>
      <c r="D22" s="29" t="inlineStr">
        <is>
          <t>Finance</t>
        </is>
      </c>
      <c r="E22" s="13" t="n">
        <v>22791571</v>
      </c>
      <c r="F22" s="13" t="n">
        <v>279881</v>
      </c>
      <c r="G22" s="13" t="n">
        <v>1215454</v>
      </c>
      <c r="H22" s="13">
        <f>E22+F22-G22</f>
        <v/>
      </c>
      <c r="I22" s="29" t="inlineStr">
        <is>
          <t>2026-03</t>
        </is>
      </c>
      <c r="J22" s="11" t="inlineStr">
        <is>
          <t>Hợp lệ</t>
        </is>
      </c>
    </row>
    <row r="23" ht="20" customHeight="1">
      <c r="A23" s="30" t="n">
        <v>22</v>
      </c>
      <c r="B23" s="30" t="inlineStr">
        <is>
          <t>E084</t>
        </is>
      </c>
      <c r="C23" s="8" t="inlineStr">
        <is>
          <t>Employee_84</t>
        </is>
      </c>
      <c r="D23" s="30" t="inlineStr">
        <is>
          <t>HR</t>
        </is>
      </c>
      <c r="E23" s="10" t="n">
        <v>15570372</v>
      </c>
      <c r="F23" s="10" t="n">
        <v>3333729</v>
      </c>
      <c r="G23" s="31" t="n">
        <v>1773654</v>
      </c>
      <c r="H23" s="10">
        <f>E23+F23-G23</f>
        <v/>
      </c>
      <c r="I23" s="30" t="inlineStr">
        <is>
          <t>2026-03</t>
        </is>
      </c>
      <c r="J23" s="8" t="inlineStr">
        <is>
          <t>Mức phạt vượt trần cảnh báo</t>
        </is>
      </c>
    </row>
    <row r="24" ht="20" customHeight="1">
      <c r="A24" s="29" t="n">
        <v>23</v>
      </c>
      <c r="B24" s="29" t="inlineStr">
        <is>
          <t>E086</t>
        </is>
      </c>
      <c r="C24" s="11" t="inlineStr">
        <is>
          <t>Employee_86</t>
        </is>
      </c>
      <c r="D24" s="29" t="inlineStr">
        <is>
          <t>Operations</t>
        </is>
      </c>
      <c r="E24" s="13" t="n">
        <v>20367682</v>
      </c>
      <c r="F24" s="13" t="n">
        <v>2199169</v>
      </c>
      <c r="G24" s="13" t="n">
        <v>1225911</v>
      </c>
      <c r="H24" s="13">
        <f>E24+F24-G24</f>
        <v/>
      </c>
      <c r="I24" s="29" t="inlineStr">
        <is>
          <t>2026-03</t>
        </is>
      </c>
      <c r="J24" s="11" t="inlineStr">
        <is>
          <t>Hợp lệ</t>
        </is>
      </c>
    </row>
    <row r="25" ht="20" customHeight="1">
      <c r="A25" s="30" t="n">
        <v>24</v>
      </c>
      <c r="B25" s="30" t="inlineStr">
        <is>
          <t>E088</t>
        </is>
      </c>
      <c r="C25" s="8" t="inlineStr">
        <is>
          <t>Employee_88</t>
        </is>
      </c>
      <c r="D25" s="30" t="inlineStr">
        <is>
          <t>Finance</t>
        </is>
      </c>
      <c r="E25" s="10" t="n">
        <v>28470961</v>
      </c>
      <c r="F25" s="10" t="n">
        <v>1856962</v>
      </c>
      <c r="G25" s="10" t="n">
        <v>1358225</v>
      </c>
      <c r="H25" s="10">
        <f>E25+F25-G25</f>
        <v/>
      </c>
      <c r="I25" s="30" t="inlineStr">
        <is>
          <t>2026-03</t>
        </is>
      </c>
      <c r="J25" s="8" t="inlineStr">
        <is>
          <t>Hợp lệ</t>
        </is>
      </c>
    </row>
    <row r="26" ht="20" customHeight="1">
      <c r="A26" s="29" t="n">
        <v>25</v>
      </c>
      <c r="B26" s="29" t="inlineStr">
        <is>
          <t>E089</t>
        </is>
      </c>
      <c r="C26" s="11" t="inlineStr">
        <is>
          <t>Employee_89</t>
        </is>
      </c>
      <c r="D26" s="29" t="inlineStr">
        <is>
          <t>Operations</t>
        </is>
      </c>
      <c r="E26" s="13" t="n">
        <v>18139819</v>
      </c>
      <c r="F26" s="13" t="n">
        <v>3425033</v>
      </c>
      <c r="G26" s="13" t="n">
        <v>244687</v>
      </c>
      <c r="H26" s="13">
        <f>E26+F26-G26</f>
        <v/>
      </c>
      <c r="I26" s="29" t="inlineStr">
        <is>
          <t>2026-03</t>
        </is>
      </c>
      <c r="J26" s="11" t="inlineStr">
        <is>
          <t>Hợp lệ</t>
        </is>
      </c>
    </row>
    <row r="27" ht="20" customHeight="1">
      <c r="A27" s="30" t="n">
        <v>26</v>
      </c>
      <c r="B27" s="30" t="inlineStr">
        <is>
          <t>E091</t>
        </is>
      </c>
      <c r="C27" s="8" t="inlineStr">
        <is>
          <t>Employee_91</t>
        </is>
      </c>
      <c r="D27" s="30" t="inlineStr">
        <is>
          <t>Sales</t>
        </is>
      </c>
      <c r="E27" s="10" t="n">
        <v>15878581</v>
      </c>
      <c r="F27" s="32" t="n">
        <v>4509267</v>
      </c>
      <c r="G27" s="10" t="n">
        <v>284508</v>
      </c>
      <c r="H27" s="10">
        <f>E27+F27-G27</f>
        <v/>
      </c>
      <c r="I27" s="30" t="inlineStr">
        <is>
          <t>2026-03</t>
        </is>
      </c>
      <c r="J27" s="8" t="inlineStr">
        <is>
          <t>Mức thưởng xuất sắc vượt trội</t>
        </is>
      </c>
    </row>
    <row r="28" ht="20" customHeight="1">
      <c r="A28" s="29" t="n">
        <v>27</v>
      </c>
      <c r="B28" s="29" t="inlineStr">
        <is>
          <t>E098</t>
        </is>
      </c>
      <c r="C28" s="11" t="inlineStr">
        <is>
          <t>Employee_98</t>
        </is>
      </c>
      <c r="D28" s="29" t="inlineStr">
        <is>
          <t>Operations</t>
        </is>
      </c>
      <c r="E28" s="13" t="n">
        <v>11076049</v>
      </c>
      <c r="F28" s="13" t="n">
        <v>1779272</v>
      </c>
      <c r="G28" s="13" t="n">
        <v>1345751</v>
      </c>
      <c r="H28" s="13">
        <f>E28+F28-G28</f>
        <v/>
      </c>
      <c r="I28" s="29" t="inlineStr">
        <is>
          <t>2026-03</t>
        </is>
      </c>
      <c r="J28" s="11" t="inlineStr">
        <is>
          <t>Mức phạt vượt trần cảnh báo</t>
        </is>
      </c>
    </row>
    <row r="29" ht="20" customHeight="1">
      <c r="A29" s="30" t="n">
        <v>28</v>
      </c>
      <c r="B29" s="30" t="inlineStr">
        <is>
          <t>E099</t>
        </is>
      </c>
      <c r="C29" s="8" t="inlineStr">
        <is>
          <t>Employee_99</t>
        </is>
      </c>
      <c r="D29" s="30" t="inlineStr">
        <is>
          <t>Sales</t>
        </is>
      </c>
      <c r="E29" s="10" t="n">
        <v>19190710</v>
      </c>
      <c r="F29" s="10" t="n">
        <v>2043203</v>
      </c>
      <c r="G29" s="10" t="n">
        <v>264081</v>
      </c>
      <c r="H29" s="10">
        <f>E29+F29-G29</f>
        <v/>
      </c>
      <c r="I29" s="30" t="inlineStr">
        <is>
          <t>2026-03</t>
        </is>
      </c>
      <c r="J29" s="8" t="inlineStr">
        <is>
          <t>Hợp lệ</t>
        </is>
      </c>
    </row>
    <row r="30" ht="20" customHeight="1">
      <c r="A30" s="29" t="n">
        <v>29</v>
      </c>
      <c r="B30" s="29" t="inlineStr">
        <is>
          <t>E102</t>
        </is>
      </c>
      <c r="C30" s="11" t="inlineStr">
        <is>
          <t>Employee_102</t>
        </is>
      </c>
      <c r="D30" s="29" t="inlineStr">
        <is>
          <t>Finance</t>
        </is>
      </c>
      <c r="E30" s="13" t="n">
        <v>12854922</v>
      </c>
      <c r="F30" s="13" t="n">
        <v>1090453</v>
      </c>
      <c r="G30" s="13" t="n">
        <v>1132913</v>
      </c>
      <c r="H30" s="13">
        <f>E30+F30-G30</f>
        <v/>
      </c>
      <c r="I30" s="29" t="inlineStr">
        <is>
          <t>2026-03</t>
        </is>
      </c>
      <c r="J30" s="11" t="inlineStr">
        <is>
          <t>Hợp lệ</t>
        </is>
      </c>
    </row>
    <row r="31" ht="20" customHeight="1">
      <c r="A31" s="30" t="n">
        <v>30</v>
      </c>
      <c r="B31" s="30" t="inlineStr">
        <is>
          <t>E104</t>
        </is>
      </c>
      <c r="C31" s="8" t="inlineStr">
        <is>
          <t>Employee_104</t>
        </is>
      </c>
      <c r="D31" s="30" t="inlineStr">
        <is>
          <t>Finance</t>
        </is>
      </c>
      <c r="E31" s="10" t="n">
        <v>15983659</v>
      </c>
      <c r="F31" s="32" t="n">
        <v>4939656</v>
      </c>
      <c r="G31" s="10" t="n">
        <v>678997</v>
      </c>
      <c r="H31" s="10">
        <f>E31+F31-G31</f>
        <v/>
      </c>
      <c r="I31" s="30" t="inlineStr">
        <is>
          <t>2026-03</t>
        </is>
      </c>
      <c r="J31" s="8" t="inlineStr">
        <is>
          <t>Mức thưởng xuất sắc vượt trội</t>
        </is>
      </c>
    </row>
    <row r="32" ht="20" customHeight="1">
      <c r="A32" s="29" t="n">
        <v>31</v>
      </c>
      <c r="B32" s="29" t="inlineStr">
        <is>
          <t>E105</t>
        </is>
      </c>
      <c r="C32" s="11" t="inlineStr">
        <is>
          <t>Employee_105</t>
        </is>
      </c>
      <c r="D32" s="29" t="inlineStr">
        <is>
          <t>HR</t>
        </is>
      </c>
      <c r="E32" s="13" t="n">
        <v>16904256</v>
      </c>
      <c r="F32" s="13" t="n">
        <v>439554</v>
      </c>
      <c r="G32" s="13" t="n">
        <v>265831</v>
      </c>
      <c r="H32" s="13">
        <f>E32+F32-G32</f>
        <v/>
      </c>
      <c r="I32" s="29" t="inlineStr">
        <is>
          <t>2026-03</t>
        </is>
      </c>
      <c r="J32" s="11" t="inlineStr">
        <is>
          <t>Hợp lệ</t>
        </is>
      </c>
    </row>
    <row r="33" ht="20" customHeight="1">
      <c r="A33" s="30" t="n">
        <v>32</v>
      </c>
      <c r="B33" s="30" t="inlineStr">
        <is>
          <t>E108</t>
        </is>
      </c>
      <c r="C33" s="8" t="inlineStr">
        <is>
          <t>Employee_108</t>
        </is>
      </c>
      <c r="D33" s="30" t="inlineStr">
        <is>
          <t>Finance</t>
        </is>
      </c>
      <c r="E33" s="10" t="n">
        <v>23369356</v>
      </c>
      <c r="F33" s="10" t="n">
        <v>261310</v>
      </c>
      <c r="G33" s="10" t="n">
        <v>127560</v>
      </c>
      <c r="H33" s="10">
        <f>E33+F33-G33</f>
        <v/>
      </c>
      <c r="I33" s="30" t="inlineStr">
        <is>
          <t>2026-03</t>
        </is>
      </c>
      <c r="J33" s="8" t="inlineStr">
        <is>
          <t>Hợp lệ</t>
        </is>
      </c>
    </row>
    <row r="34" ht="20" customHeight="1">
      <c r="A34" s="29" t="n">
        <v>33</v>
      </c>
      <c r="B34" s="29" t="inlineStr">
        <is>
          <t>E116</t>
        </is>
      </c>
      <c r="C34" s="11" t="inlineStr">
        <is>
          <t>Employee_116</t>
        </is>
      </c>
      <c r="D34" s="29" t="inlineStr">
        <is>
          <t>Finance</t>
        </is>
      </c>
      <c r="E34" s="13" t="n">
        <v>22319823</v>
      </c>
      <c r="F34" s="13" t="n">
        <v>2621637</v>
      </c>
      <c r="G34" s="13" t="n">
        <v>1394832</v>
      </c>
      <c r="H34" s="13">
        <f>E34+F34-G34</f>
        <v/>
      </c>
      <c r="I34" s="29" t="inlineStr">
        <is>
          <t>2026-03</t>
        </is>
      </c>
      <c r="J34" s="11" t="inlineStr">
        <is>
          <t>Hợp lệ</t>
        </is>
      </c>
    </row>
    <row r="35" ht="20" customHeight="1">
      <c r="A35" s="30" t="n">
        <v>34</v>
      </c>
      <c r="B35" s="30" t="inlineStr">
        <is>
          <t>E118</t>
        </is>
      </c>
      <c r="C35" s="8" t="inlineStr">
        <is>
          <t>Employee_118</t>
        </is>
      </c>
      <c r="D35" s="30" t="inlineStr">
        <is>
          <t>Sales</t>
        </is>
      </c>
      <c r="E35" s="10" t="n">
        <v>11128283</v>
      </c>
      <c r="F35" s="10" t="n">
        <v>3622842</v>
      </c>
      <c r="G35" s="10" t="n">
        <v>202510</v>
      </c>
      <c r="H35" s="10">
        <f>E35+F35-G35</f>
        <v/>
      </c>
      <c r="I35" s="30" t="inlineStr">
        <is>
          <t>2026-03</t>
        </is>
      </c>
      <c r="J35" s="8" t="inlineStr">
        <is>
          <t>Hợp lệ</t>
        </is>
      </c>
    </row>
    <row r="36" ht="20" customHeight="1">
      <c r="A36" s="29" t="n">
        <v>35</v>
      </c>
      <c r="B36" s="29" t="inlineStr">
        <is>
          <t>E122</t>
        </is>
      </c>
      <c r="C36" s="11" t="inlineStr">
        <is>
          <t>Employee_122</t>
        </is>
      </c>
      <c r="D36" s="29" t="inlineStr">
        <is>
          <t>HR</t>
        </is>
      </c>
      <c r="E36" s="13" t="n">
        <v>13191883</v>
      </c>
      <c r="F36" s="32" t="n">
        <v>4044897</v>
      </c>
      <c r="G36" s="13" t="n">
        <v>470275</v>
      </c>
      <c r="H36" s="13">
        <f>E36+F36-G36</f>
        <v/>
      </c>
      <c r="I36" s="29" t="inlineStr">
        <is>
          <t>2026-03</t>
        </is>
      </c>
      <c r="J36" s="11" t="inlineStr">
        <is>
          <t>Mức thưởng xuất sắc vượt trội</t>
        </is>
      </c>
    </row>
    <row r="37" ht="20" customHeight="1">
      <c r="A37" s="30" t="n">
        <v>36</v>
      </c>
      <c r="B37" s="30" t="inlineStr">
        <is>
          <t>E123</t>
        </is>
      </c>
      <c r="C37" s="8" t="inlineStr">
        <is>
          <t>Employee_123</t>
        </is>
      </c>
      <c r="D37" s="30" t="inlineStr">
        <is>
          <t>Finance</t>
        </is>
      </c>
      <c r="E37" s="10" t="n">
        <v>26665172</v>
      </c>
      <c r="F37" s="10" t="n">
        <v>3083325</v>
      </c>
      <c r="G37" s="10" t="n">
        <v>240931</v>
      </c>
      <c r="H37" s="10">
        <f>E37+F37-G37</f>
        <v/>
      </c>
      <c r="I37" s="30" t="inlineStr">
        <is>
          <t>2026-03</t>
        </is>
      </c>
      <c r="J37" s="8" t="inlineStr">
        <is>
          <t>Hợp lệ</t>
        </is>
      </c>
    </row>
    <row r="38" ht="20" customHeight="1">
      <c r="A38" s="29" t="n">
        <v>37</v>
      </c>
      <c r="B38" s="29" t="inlineStr">
        <is>
          <t>E125</t>
        </is>
      </c>
      <c r="C38" s="11" t="inlineStr">
        <is>
          <t>Employee_125</t>
        </is>
      </c>
      <c r="D38" s="29" t="inlineStr">
        <is>
          <t>Finance</t>
        </is>
      </c>
      <c r="E38" s="13" t="n">
        <v>8971507</v>
      </c>
      <c r="F38" s="13" t="n">
        <v>1513439</v>
      </c>
      <c r="G38" s="13" t="n">
        <v>573089</v>
      </c>
      <c r="H38" s="13">
        <f>E38+F38-G38</f>
        <v/>
      </c>
      <c r="I38" s="29" t="inlineStr">
        <is>
          <t>2026-03</t>
        </is>
      </c>
      <c r="J38" s="11" t="inlineStr">
        <is>
          <t>Hợp lệ</t>
        </is>
      </c>
    </row>
    <row r="39" ht="20" customHeight="1">
      <c r="A39" s="30" t="n">
        <v>38</v>
      </c>
      <c r="B39" s="30" t="inlineStr">
        <is>
          <t>E128</t>
        </is>
      </c>
      <c r="C39" s="8" t="inlineStr">
        <is>
          <t>Employee_128</t>
        </is>
      </c>
      <c r="D39" s="30" t="inlineStr">
        <is>
          <t>Sales</t>
        </is>
      </c>
      <c r="E39" s="10" t="n">
        <v>25800045</v>
      </c>
      <c r="F39" s="10" t="n">
        <v>1804665</v>
      </c>
      <c r="G39" s="10" t="n">
        <v>788936</v>
      </c>
      <c r="H39" s="10">
        <f>E39+F39-G39</f>
        <v/>
      </c>
      <c r="I39" s="30" t="inlineStr">
        <is>
          <t>2026-03</t>
        </is>
      </c>
      <c r="J39" s="8" t="inlineStr">
        <is>
          <t>Hợp lệ</t>
        </is>
      </c>
    </row>
    <row r="40" ht="20" customHeight="1">
      <c r="A40" s="29" t="n">
        <v>39</v>
      </c>
      <c r="B40" s="29" t="inlineStr">
        <is>
          <t>E131</t>
        </is>
      </c>
      <c r="C40" s="11" t="inlineStr">
        <is>
          <t>Employee_131</t>
        </is>
      </c>
      <c r="D40" s="29" t="inlineStr">
        <is>
          <t>HR</t>
        </is>
      </c>
      <c r="E40" s="13" t="n">
        <v>13281799</v>
      </c>
      <c r="F40" s="13" t="n">
        <v>417438</v>
      </c>
      <c r="G40" s="13" t="n">
        <v>1413414</v>
      </c>
      <c r="H40" s="13">
        <f>E40+F40-G40</f>
        <v/>
      </c>
      <c r="I40" s="29" t="inlineStr">
        <is>
          <t>2026-03</t>
        </is>
      </c>
      <c r="J40" s="11" t="inlineStr">
        <is>
          <t>Mức phạt vượt trần cảnh báo</t>
        </is>
      </c>
    </row>
    <row r="41" ht="20" customHeight="1">
      <c r="A41" s="30" t="n">
        <v>40</v>
      </c>
      <c r="B41" s="30" t="inlineStr">
        <is>
          <t>E132</t>
        </is>
      </c>
      <c r="C41" s="8" t="inlineStr">
        <is>
          <t>Employee_132</t>
        </is>
      </c>
      <c r="D41" s="30" t="inlineStr">
        <is>
          <t>Finance</t>
        </is>
      </c>
      <c r="E41" s="10" t="n">
        <v>22868404</v>
      </c>
      <c r="F41" s="10" t="n">
        <v>3556893</v>
      </c>
      <c r="G41" s="10" t="n">
        <v>1018506</v>
      </c>
      <c r="H41" s="10">
        <f>E41+F41-G41</f>
        <v/>
      </c>
      <c r="I41" s="30" t="inlineStr">
        <is>
          <t>2026-03</t>
        </is>
      </c>
      <c r="J41" s="8" t="inlineStr">
        <is>
          <t>Hợp lệ</t>
        </is>
      </c>
    </row>
    <row r="42" ht="20" customHeight="1">
      <c r="A42" s="29" t="n">
        <v>41</v>
      </c>
      <c r="B42" s="29" t="inlineStr">
        <is>
          <t>E134</t>
        </is>
      </c>
      <c r="C42" s="11" t="inlineStr">
        <is>
          <t>Employee_134</t>
        </is>
      </c>
      <c r="D42" s="29" t="inlineStr">
        <is>
          <t>Finance</t>
        </is>
      </c>
      <c r="E42" s="13" t="n">
        <v>22425507</v>
      </c>
      <c r="F42" s="13" t="n">
        <v>930210</v>
      </c>
      <c r="G42" s="13" t="n">
        <v>594010</v>
      </c>
      <c r="H42" s="13">
        <f>E42+F42-G42</f>
        <v/>
      </c>
      <c r="I42" s="29" t="inlineStr">
        <is>
          <t>2026-03</t>
        </is>
      </c>
      <c r="J42" s="11" t="inlineStr">
        <is>
          <t>Hợp lệ</t>
        </is>
      </c>
    </row>
    <row r="43" ht="20" customHeight="1">
      <c r="A43" s="30" t="n">
        <v>42</v>
      </c>
      <c r="B43" s="30" t="inlineStr">
        <is>
          <t>E136</t>
        </is>
      </c>
      <c r="C43" s="8" t="inlineStr">
        <is>
          <t>Employee_136</t>
        </is>
      </c>
      <c r="D43" s="30" t="inlineStr">
        <is>
          <t>Sales</t>
        </is>
      </c>
      <c r="E43" s="10" t="n">
        <v>14859301</v>
      </c>
      <c r="F43" s="10" t="n">
        <v>2528488</v>
      </c>
      <c r="G43" s="31" t="n">
        <v>1982488</v>
      </c>
      <c r="H43" s="10">
        <f>E43+F43-G43</f>
        <v/>
      </c>
      <c r="I43" s="30" t="inlineStr">
        <is>
          <t>2026-03</t>
        </is>
      </c>
      <c r="J43" s="8" t="inlineStr">
        <is>
          <t>Mức phạt vượt trần cảnh báo</t>
        </is>
      </c>
    </row>
    <row r="44" ht="20" customHeight="1">
      <c r="A44" s="29" t="n">
        <v>43</v>
      </c>
      <c r="B44" s="29" t="inlineStr">
        <is>
          <t>E138</t>
        </is>
      </c>
      <c r="C44" s="11" t="inlineStr">
        <is>
          <t>Employee_138</t>
        </is>
      </c>
      <c r="D44" s="29" t="inlineStr">
        <is>
          <t>Sales</t>
        </is>
      </c>
      <c r="E44" s="13" t="n">
        <v>24689482</v>
      </c>
      <c r="F44" s="13" t="n">
        <v>3612596</v>
      </c>
      <c r="G44" s="13" t="n">
        <v>368458</v>
      </c>
      <c r="H44" s="13">
        <f>E44+F44-G44</f>
        <v/>
      </c>
      <c r="I44" s="29" t="inlineStr">
        <is>
          <t>2026-03</t>
        </is>
      </c>
      <c r="J44" s="11" t="inlineStr">
        <is>
          <t>Hợp lệ</t>
        </is>
      </c>
    </row>
    <row r="45" ht="20" customHeight="1">
      <c r="A45" s="30" t="n">
        <v>44</v>
      </c>
      <c r="B45" s="30" t="inlineStr">
        <is>
          <t>E141</t>
        </is>
      </c>
      <c r="C45" s="8" t="inlineStr">
        <is>
          <t>Employee_141</t>
        </is>
      </c>
      <c r="D45" s="30" t="inlineStr">
        <is>
          <t>Operations</t>
        </is>
      </c>
      <c r="E45" s="10" t="n">
        <v>10612635</v>
      </c>
      <c r="F45" s="10" t="n">
        <v>2626142</v>
      </c>
      <c r="G45" s="10" t="n">
        <v>1207454</v>
      </c>
      <c r="H45" s="10">
        <f>E45+F45-G45</f>
        <v/>
      </c>
      <c r="I45" s="30" t="inlineStr">
        <is>
          <t>2026-03</t>
        </is>
      </c>
      <c r="J45" s="8" t="inlineStr">
        <is>
          <t>Mức phạt vượt trần cảnh báo</t>
        </is>
      </c>
    </row>
    <row r="46" ht="20" customHeight="1">
      <c r="A46" s="29" t="n">
        <v>45</v>
      </c>
      <c r="B46" s="29" t="inlineStr">
        <is>
          <t>E143</t>
        </is>
      </c>
      <c r="C46" s="11" t="inlineStr">
        <is>
          <t>Employee_143</t>
        </is>
      </c>
      <c r="D46" s="29" t="inlineStr">
        <is>
          <t>Operations</t>
        </is>
      </c>
      <c r="E46" s="13" t="n">
        <v>8699829</v>
      </c>
      <c r="F46" s="13" t="n">
        <v>2724352</v>
      </c>
      <c r="G46" s="13" t="n">
        <v>360444</v>
      </c>
      <c r="H46" s="13">
        <f>E46+F46-G46</f>
        <v/>
      </c>
      <c r="I46" s="29" t="inlineStr">
        <is>
          <t>2026-03</t>
        </is>
      </c>
      <c r="J46" s="11" t="inlineStr">
        <is>
          <t>Hợp lệ</t>
        </is>
      </c>
    </row>
    <row r="47" ht="20" customHeight="1">
      <c r="A47" s="30" t="n">
        <v>46</v>
      </c>
      <c r="B47" s="30" t="inlineStr">
        <is>
          <t>E145</t>
        </is>
      </c>
      <c r="C47" s="8" t="inlineStr">
        <is>
          <t>Employee_145</t>
        </is>
      </c>
      <c r="D47" s="30" t="inlineStr">
        <is>
          <t>HR</t>
        </is>
      </c>
      <c r="E47" s="10" t="n">
        <v>22618878</v>
      </c>
      <c r="F47" s="32" t="n">
        <v>4939810</v>
      </c>
      <c r="G47" s="10" t="n">
        <v>839804</v>
      </c>
      <c r="H47" s="10">
        <f>E47+F47-G47</f>
        <v/>
      </c>
      <c r="I47" s="30" t="inlineStr">
        <is>
          <t>2026-03</t>
        </is>
      </c>
      <c r="J47" s="8" t="inlineStr">
        <is>
          <t>Mức thưởng xuất sắc vượt trội</t>
        </is>
      </c>
    </row>
    <row r="48" ht="20" customHeight="1">
      <c r="A48" s="29" t="n">
        <v>47</v>
      </c>
      <c r="B48" s="29" t="inlineStr">
        <is>
          <t>E146</t>
        </is>
      </c>
      <c r="C48" s="11" t="inlineStr">
        <is>
          <t>Employee_146</t>
        </is>
      </c>
      <c r="D48" s="29" t="inlineStr">
        <is>
          <t>Operations</t>
        </is>
      </c>
      <c r="E48" s="13" t="n">
        <v>18411086</v>
      </c>
      <c r="F48" s="13" t="n">
        <v>2848043</v>
      </c>
      <c r="G48" s="13" t="n">
        <v>464670</v>
      </c>
      <c r="H48" s="13">
        <f>E48+F48-G48</f>
        <v/>
      </c>
      <c r="I48" s="29" t="inlineStr">
        <is>
          <t>2026-03</t>
        </is>
      </c>
      <c r="J48" s="11" t="inlineStr">
        <is>
          <t>Hợp lệ</t>
        </is>
      </c>
    </row>
    <row r="49" ht="20" customHeight="1">
      <c r="A49" s="30" t="n">
        <v>48</v>
      </c>
      <c r="B49" s="30" t="inlineStr">
        <is>
          <t>E148</t>
        </is>
      </c>
      <c r="C49" s="8" t="inlineStr">
        <is>
          <t>Employee_148</t>
        </is>
      </c>
      <c r="D49" s="30" t="inlineStr">
        <is>
          <t>HR</t>
        </is>
      </c>
      <c r="E49" s="10" t="n">
        <v>19723088</v>
      </c>
      <c r="F49" s="10" t="n">
        <v>2945238</v>
      </c>
      <c r="G49" s="31" t="n">
        <v>1525424</v>
      </c>
      <c r="H49" s="10">
        <f>E49+F49-G49</f>
        <v/>
      </c>
      <c r="I49" s="30" t="inlineStr">
        <is>
          <t>2026-03</t>
        </is>
      </c>
      <c r="J49" s="8" t="inlineStr">
        <is>
          <t>Mức phạt vượt trần cảnh báo</t>
        </is>
      </c>
    </row>
    <row r="50" ht="20" customHeight="1">
      <c r="A50" s="29" t="n">
        <v>49</v>
      </c>
      <c r="B50" s="29" t="inlineStr">
        <is>
          <t>E151</t>
        </is>
      </c>
      <c r="C50" s="11" t="inlineStr">
        <is>
          <t>Employee_151</t>
        </is>
      </c>
      <c r="D50" s="29" t="inlineStr">
        <is>
          <t>HR</t>
        </is>
      </c>
      <c r="E50" s="13" t="n">
        <v>29070464</v>
      </c>
      <c r="F50" s="32" t="n">
        <v>4144954</v>
      </c>
      <c r="G50" s="13" t="n">
        <v>972980</v>
      </c>
      <c r="H50" s="13">
        <f>E50+F50-G50</f>
        <v/>
      </c>
      <c r="I50" s="29" t="inlineStr">
        <is>
          <t>2026-03</t>
        </is>
      </c>
      <c r="J50" s="11" t="inlineStr">
        <is>
          <t>Mức thưởng xuất sắc vượt trội</t>
        </is>
      </c>
    </row>
    <row r="51" ht="20" customHeight="1">
      <c r="A51" s="30" t="n">
        <v>50</v>
      </c>
      <c r="B51" s="30" t="inlineStr">
        <is>
          <t>E155</t>
        </is>
      </c>
      <c r="C51" s="8" t="inlineStr">
        <is>
          <t>Employee_155</t>
        </is>
      </c>
      <c r="D51" s="30" t="inlineStr">
        <is>
          <t>Finance</t>
        </is>
      </c>
      <c r="E51" s="10" t="n">
        <v>23493506</v>
      </c>
      <c r="F51" s="10" t="n">
        <v>3790928</v>
      </c>
      <c r="G51" s="10" t="n">
        <v>78868</v>
      </c>
      <c r="H51" s="10">
        <f>E51+F51-G51</f>
        <v/>
      </c>
      <c r="I51" s="30" t="inlineStr">
        <is>
          <t>2026-03</t>
        </is>
      </c>
      <c r="J51" s="8" t="inlineStr">
        <is>
          <t>Hợp lệ</t>
        </is>
      </c>
    </row>
    <row r="52" ht="20" customHeight="1">
      <c r="A52" s="29" t="n">
        <v>51</v>
      </c>
      <c r="B52" s="29" t="inlineStr">
        <is>
          <t>E156</t>
        </is>
      </c>
      <c r="C52" s="11" t="inlineStr">
        <is>
          <t>Employee_156</t>
        </is>
      </c>
      <c r="D52" s="29" t="inlineStr">
        <is>
          <t>Finance</t>
        </is>
      </c>
      <c r="E52" s="13" t="n">
        <v>17632706</v>
      </c>
      <c r="F52" s="13" t="n">
        <v>643666</v>
      </c>
      <c r="G52" s="13" t="n">
        <v>1351963</v>
      </c>
      <c r="H52" s="13">
        <f>E52+F52-G52</f>
        <v/>
      </c>
      <c r="I52" s="29" t="inlineStr">
        <is>
          <t>2026-03</t>
        </is>
      </c>
      <c r="J52" s="11" t="inlineStr">
        <is>
          <t>Hợp lệ</t>
        </is>
      </c>
    </row>
    <row r="53" ht="20" customHeight="1">
      <c r="A53" s="30" t="n">
        <v>52</v>
      </c>
      <c r="B53" s="30" t="inlineStr">
        <is>
          <t>E157</t>
        </is>
      </c>
      <c r="C53" s="8" t="inlineStr">
        <is>
          <t>Employee_157</t>
        </is>
      </c>
      <c r="D53" s="30" t="inlineStr">
        <is>
          <t>Operations</t>
        </is>
      </c>
      <c r="E53" s="10" t="n">
        <v>23526026</v>
      </c>
      <c r="F53" s="32" t="n">
        <v>4868155</v>
      </c>
      <c r="G53" s="10" t="n">
        <v>1162485</v>
      </c>
      <c r="H53" s="10">
        <f>E53+F53-G53</f>
        <v/>
      </c>
      <c r="I53" s="30" t="inlineStr">
        <is>
          <t>2026-03</t>
        </is>
      </c>
      <c r="J53" s="8" t="inlineStr">
        <is>
          <t>Mức thưởng xuất sắc vượt trội</t>
        </is>
      </c>
    </row>
    <row r="54" ht="20" customHeight="1">
      <c r="A54" s="29" t="n">
        <v>53</v>
      </c>
      <c r="B54" s="29" t="inlineStr">
        <is>
          <t>E158</t>
        </is>
      </c>
      <c r="C54" s="11" t="inlineStr">
        <is>
          <t>Employee_158</t>
        </is>
      </c>
      <c r="D54" s="29" t="inlineStr">
        <is>
          <t>Operations</t>
        </is>
      </c>
      <c r="E54" s="13" t="n">
        <v>27181615</v>
      </c>
      <c r="F54" s="13" t="n">
        <v>1579067</v>
      </c>
      <c r="G54" s="13" t="n">
        <v>674290</v>
      </c>
      <c r="H54" s="13">
        <f>E54+F54-G54</f>
        <v/>
      </c>
      <c r="I54" s="29" t="inlineStr">
        <is>
          <t>2026-03</t>
        </is>
      </c>
      <c r="J54" s="11" t="inlineStr">
        <is>
          <t>Hợp lệ</t>
        </is>
      </c>
    </row>
    <row r="55" ht="20" customHeight="1">
      <c r="A55" s="30" t="n">
        <v>54</v>
      </c>
      <c r="B55" s="30" t="inlineStr">
        <is>
          <t>E166</t>
        </is>
      </c>
      <c r="C55" s="8" t="inlineStr">
        <is>
          <t>Employee_166</t>
        </is>
      </c>
      <c r="D55" s="30" t="inlineStr">
        <is>
          <t>HR</t>
        </is>
      </c>
      <c r="E55" s="10" t="n">
        <v>19738037</v>
      </c>
      <c r="F55" s="10" t="n">
        <v>2602412</v>
      </c>
      <c r="G55" s="10" t="n">
        <v>1375846</v>
      </c>
      <c r="H55" s="10">
        <f>E55+F55-G55</f>
        <v/>
      </c>
      <c r="I55" s="30" t="inlineStr">
        <is>
          <t>2026-03</t>
        </is>
      </c>
      <c r="J55" s="8" t="inlineStr">
        <is>
          <t>Hợp lệ</t>
        </is>
      </c>
    </row>
    <row r="56" ht="20" customHeight="1">
      <c r="A56" s="29" t="n">
        <v>55</v>
      </c>
      <c r="B56" s="29" t="inlineStr">
        <is>
          <t>E172</t>
        </is>
      </c>
      <c r="C56" s="11" t="inlineStr">
        <is>
          <t>Employee_172</t>
        </is>
      </c>
      <c r="D56" s="29" t="inlineStr">
        <is>
          <t>Sales</t>
        </is>
      </c>
      <c r="E56" s="13" t="n">
        <v>19299937</v>
      </c>
      <c r="F56" s="13" t="n">
        <v>1099319</v>
      </c>
      <c r="G56" s="13" t="n">
        <v>1252516</v>
      </c>
      <c r="H56" s="13">
        <f>E56+F56-G56</f>
        <v/>
      </c>
      <c r="I56" s="29" t="inlineStr">
        <is>
          <t>2026-03</t>
        </is>
      </c>
      <c r="J56" s="11" t="inlineStr">
        <is>
          <t>Hợp lệ</t>
        </is>
      </c>
    </row>
    <row r="57" ht="20" customHeight="1">
      <c r="A57" s="30" t="n">
        <v>56</v>
      </c>
      <c r="B57" s="30" t="inlineStr">
        <is>
          <t>E182</t>
        </is>
      </c>
      <c r="C57" s="8" t="inlineStr">
        <is>
          <t>Employee_182</t>
        </is>
      </c>
      <c r="D57" s="30" t="inlineStr">
        <is>
          <t>HR</t>
        </is>
      </c>
      <c r="E57" s="10" t="n">
        <v>17153357</v>
      </c>
      <c r="F57" s="10" t="n">
        <v>3769162</v>
      </c>
      <c r="G57" s="31" t="n">
        <v>1898564</v>
      </c>
      <c r="H57" s="10">
        <f>E57+F57-G57</f>
        <v/>
      </c>
      <c r="I57" s="30" t="inlineStr">
        <is>
          <t>2026-03</t>
        </is>
      </c>
      <c r="J57" s="8" t="inlineStr">
        <is>
          <t>Mức phạt vượt trần cảnh báo</t>
        </is>
      </c>
    </row>
    <row r="58" ht="20" customHeight="1">
      <c r="A58" s="29" t="n">
        <v>57</v>
      </c>
      <c r="B58" s="29" t="inlineStr">
        <is>
          <t>E187</t>
        </is>
      </c>
      <c r="C58" s="11" t="inlineStr">
        <is>
          <t>Employee_187</t>
        </is>
      </c>
      <c r="D58" s="29" t="inlineStr">
        <is>
          <t>Finance</t>
        </is>
      </c>
      <c r="E58" s="13" t="n">
        <v>12900601</v>
      </c>
      <c r="F58" s="13" t="n">
        <v>1154269</v>
      </c>
      <c r="G58" s="13" t="n">
        <v>80327</v>
      </c>
      <c r="H58" s="13">
        <f>E58+F58-G58</f>
        <v/>
      </c>
      <c r="I58" s="29" t="inlineStr">
        <is>
          <t>2026-03</t>
        </is>
      </c>
      <c r="J58" s="11" t="inlineStr">
        <is>
          <t>Hợp lệ</t>
        </is>
      </c>
    </row>
    <row r="59" ht="20" customHeight="1">
      <c r="A59" s="30" t="n">
        <v>58</v>
      </c>
      <c r="B59" s="30" t="inlineStr">
        <is>
          <t>E189</t>
        </is>
      </c>
      <c r="C59" s="8" t="inlineStr">
        <is>
          <t>Employee_189</t>
        </is>
      </c>
      <c r="D59" s="30" t="inlineStr">
        <is>
          <t>Sales</t>
        </is>
      </c>
      <c r="E59" s="10" t="n">
        <v>8637664</v>
      </c>
      <c r="F59" s="10" t="n">
        <v>2146845</v>
      </c>
      <c r="G59" s="10" t="n">
        <v>452260</v>
      </c>
      <c r="H59" s="10">
        <f>E59+F59-G59</f>
        <v/>
      </c>
      <c r="I59" s="30" t="inlineStr">
        <is>
          <t>2026-03</t>
        </is>
      </c>
      <c r="J59" s="8" t="inlineStr">
        <is>
          <t>Hợp lệ</t>
        </is>
      </c>
    </row>
    <row r="60" ht="20" customHeight="1">
      <c r="A60" s="29" t="n">
        <v>59</v>
      </c>
      <c r="B60" s="29" t="inlineStr">
        <is>
          <t>E193</t>
        </is>
      </c>
      <c r="C60" s="11" t="inlineStr">
        <is>
          <t>Employee_193</t>
        </is>
      </c>
      <c r="D60" s="29" t="inlineStr">
        <is>
          <t>HR</t>
        </is>
      </c>
      <c r="E60" s="13" t="n">
        <v>12817639</v>
      </c>
      <c r="F60" s="13" t="n">
        <v>2443366</v>
      </c>
      <c r="G60" s="13" t="n">
        <v>900179</v>
      </c>
      <c r="H60" s="13">
        <f>E60+F60-G60</f>
        <v/>
      </c>
      <c r="I60" s="29" t="inlineStr">
        <is>
          <t>2026-03</t>
        </is>
      </c>
      <c r="J60" s="11" t="inlineStr">
        <is>
          <t>Hợp lệ</t>
        </is>
      </c>
    </row>
    <row r="61" ht="20" customHeight="1">
      <c r="A61" s="30" t="n">
        <v>60</v>
      </c>
      <c r="B61" s="30" t="inlineStr">
        <is>
          <t>E194</t>
        </is>
      </c>
      <c r="C61" s="8" t="inlineStr">
        <is>
          <t>Employee_194</t>
        </is>
      </c>
      <c r="D61" s="30" t="inlineStr">
        <is>
          <t>Finance</t>
        </is>
      </c>
      <c r="E61" s="10" t="n">
        <v>16071996</v>
      </c>
      <c r="F61" s="32" t="n">
        <v>4787074</v>
      </c>
      <c r="G61" s="10" t="n">
        <v>873605</v>
      </c>
      <c r="H61" s="10">
        <f>E61+F61-G61</f>
        <v/>
      </c>
      <c r="I61" s="30" t="inlineStr">
        <is>
          <t>2026-03</t>
        </is>
      </c>
      <c r="J61" s="8" t="inlineStr">
        <is>
          <t>Mức thưởng xuất sắc vượt trội</t>
        </is>
      </c>
    </row>
    <row r="62" ht="20" customHeight="1">
      <c r="A62" s="29" t="n">
        <v>61</v>
      </c>
      <c r="B62" s="29" t="inlineStr">
        <is>
          <t>E196</t>
        </is>
      </c>
      <c r="C62" s="11" t="inlineStr">
        <is>
          <t>Employee_196</t>
        </is>
      </c>
      <c r="D62" s="29" t="inlineStr">
        <is>
          <t>Operations</t>
        </is>
      </c>
      <c r="E62" s="13" t="n">
        <v>23775115</v>
      </c>
      <c r="F62" s="13" t="n">
        <v>365193</v>
      </c>
      <c r="G62" s="13" t="n">
        <v>1333098</v>
      </c>
      <c r="H62" s="13">
        <f>E62+F62-G62</f>
        <v/>
      </c>
      <c r="I62" s="29" t="inlineStr">
        <is>
          <t>2026-03</t>
        </is>
      </c>
      <c r="J62" s="11" t="inlineStr">
        <is>
          <t>Hợp lệ</t>
        </is>
      </c>
    </row>
    <row r="63" ht="20" customHeight="1">
      <c r="A63" s="30" t="n">
        <v>62</v>
      </c>
      <c r="B63" s="30" t="inlineStr">
        <is>
          <t>E198</t>
        </is>
      </c>
      <c r="C63" s="8" t="inlineStr">
        <is>
          <t>Employee_198</t>
        </is>
      </c>
      <c r="D63" s="30" t="inlineStr">
        <is>
          <t>Finance</t>
        </is>
      </c>
      <c r="E63" s="10" t="n">
        <v>16090843</v>
      </c>
      <c r="F63" s="10" t="n">
        <v>869595</v>
      </c>
      <c r="G63" s="31" t="n">
        <v>1617955</v>
      </c>
      <c r="H63" s="10">
        <f>E63+F63-G63</f>
        <v/>
      </c>
      <c r="I63" s="30" t="inlineStr">
        <is>
          <t>2026-03</t>
        </is>
      </c>
      <c r="J63" s="8" t="inlineStr">
        <is>
          <t>Mức phạt vượt trần cảnh báo</t>
        </is>
      </c>
    </row>
    <row r="64" ht="24" customHeight="1">
      <c r="A64" s="33" t="inlineStr"/>
      <c r="B64" s="34" t="inlineStr">
        <is>
          <t>TỔNG CỘNG</t>
        </is>
      </c>
      <c r="C64" s="34" t="inlineStr">
        <is>
          <t>62 NV</t>
        </is>
      </c>
      <c r="D64" s="33" t="inlineStr"/>
      <c r="E64" s="35">
        <f>SUM(E2:E63)</f>
        <v/>
      </c>
      <c r="F64" s="35">
        <f>SUM(F2:F63)</f>
        <v/>
      </c>
      <c r="G64" s="35">
        <f>SUM(G2:G63)</f>
        <v/>
      </c>
      <c r="H64" s="35">
        <f>SUM(H2:H63)</f>
        <v/>
      </c>
      <c r="I64" s="33" t="inlineStr"/>
      <c r="J64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2026-09-09T14:51:18Z</dcterms:created>
  <dcterms:modified xsi:type="dcterms:W3CDTF">2026-09-09T14:51:19Z</dcterms:modified>
</cp:coreProperties>
</file>