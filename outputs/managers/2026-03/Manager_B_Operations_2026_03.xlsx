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&amp; KPI" sheetId="1" state="visible" r:id="rId1"/>
    <sheet name="Chi Tiết Nhân S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475569"/>
      <sz val="8"/>
    </font>
    <font>
      <name val="Segoe UI"/>
      <b val="1"/>
      <color rgb="001B365D"/>
      <sz val="12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1B365D"/>
      <sz val="9"/>
    </font>
    <font>
      <name val="Segoe UI"/>
      <b val="1"/>
      <color rgb="00991B1B"/>
      <sz val="11"/>
    </font>
    <font>
      <name val="Segoe UI"/>
      <color rgb="00166534"/>
      <sz val="9"/>
    </font>
    <font>
      <name val="Segoe UI"/>
      <color rgb="000F172A"/>
      <sz val="9"/>
    </font>
    <font>
      <name val="Segoe UI"/>
      <color rgb="00991B1B"/>
      <sz val="9"/>
    </font>
    <font>
      <name val="Segoe UI"/>
      <b val="1"/>
      <color rgb="00FFFFFF"/>
      <sz val="10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1B365D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3" fontId="7" fillId="5" borderId="4" applyAlignment="1" pivotButton="0" quotePrefix="0" xfId="0">
      <alignment horizontal="right" vertical="center"/>
    </xf>
    <xf numFmtId="164" fontId="7" fillId="5" borderId="4" applyAlignment="1" pivotButton="0" quotePrefix="0" xfId="0">
      <alignment horizontal="right" vertical="center"/>
    </xf>
    <xf numFmtId="0" fontId="7" fillId="4" borderId="4" applyAlignment="1" pivotButton="0" quotePrefix="0" xfId="0">
      <alignment horizontal="left" vertical="center"/>
    </xf>
    <xf numFmtId="3" fontId="7" fillId="4" borderId="4" applyAlignment="1" pivotButton="0" quotePrefix="0" xfId="0">
      <alignment horizontal="right" vertical="center"/>
    </xf>
    <xf numFmtId="164" fontId="7" fillId="4" borderId="4" applyAlignment="1" pivotButton="0" quotePrefix="0" xfId="0">
      <alignment horizontal="right" vertical="center"/>
    </xf>
    <xf numFmtId="0" fontId="8" fillId="6" borderId="5" applyAlignment="1" pivotButton="0" quotePrefix="0" xfId="0">
      <alignment horizontal="left" vertical="center"/>
    </xf>
    <xf numFmtId="3" fontId="8" fillId="6" borderId="5" applyAlignment="1" pivotButton="0" quotePrefix="0" xfId="0">
      <alignment horizontal="right" vertical="center"/>
    </xf>
    <xf numFmtId="164" fontId="8" fillId="6" borderId="5" applyAlignment="1" pivotButton="0" quotePrefix="0" xfId="0">
      <alignment horizontal="right" vertical="center"/>
    </xf>
    <xf numFmtId="0" fontId="9" fillId="0" borderId="0" pivotButton="0" quotePrefix="0" xfId="0"/>
    <xf numFmtId="0" fontId="6" fillId="3" borderId="3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4" fontId="10" fillId="7" borderId="4" applyAlignment="1" pivotButton="0" quotePrefix="0" xfId="0">
      <alignment horizontal="right" vertical="center"/>
    </xf>
    <xf numFmtId="0" fontId="11" fillId="4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left" vertical="center"/>
    </xf>
    <xf numFmtId="164" fontId="11" fillId="4" borderId="4" applyAlignment="1" pivotButton="0" quotePrefix="0" xfId="0">
      <alignment horizontal="right" vertical="center"/>
    </xf>
    <xf numFmtId="0" fontId="12" fillId="8" borderId="4" applyAlignment="1" pivotButton="0" quotePrefix="0" xfId="0">
      <alignment horizontal="center" vertical="center"/>
    </xf>
    <xf numFmtId="0" fontId="12" fillId="8" borderId="4" applyAlignment="1" pivotButton="0" quotePrefix="0" xfId="0">
      <alignment horizontal="left" vertical="center"/>
    </xf>
    <xf numFmtId="164" fontId="12" fillId="8" borderId="4" applyAlignment="1" pivotButton="0" quotePrefix="0" xfId="0">
      <alignment horizontal="right" vertical="center"/>
    </xf>
    <xf numFmtId="0" fontId="13" fillId="2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164" fontId="14" fillId="7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center" vertical="center"/>
    </xf>
    <xf numFmtId="164" fontId="15" fillId="8" borderId="4" applyAlignment="1" pivotButton="0" quotePrefix="0" xfId="0">
      <alignment horizontal="right" vertical="center"/>
    </xf>
    <xf numFmtId="0" fontId="16" fillId="6" borderId="5" pivotButton="0" quotePrefix="0" xfId="0"/>
    <xf numFmtId="0" fontId="16" fillId="6" borderId="5" applyAlignment="1" pivotButton="0" quotePrefix="0" xfId="0">
      <alignment horizontal="center" vertical="center"/>
    </xf>
    <xf numFmtId="164" fontId="16" fillId="6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  <col width="40" customWidth="1" min="5" max="5"/>
    <col width="23" customWidth="1" min="6" max="6"/>
    <col width="35" customWidth="1" min="7" max="7"/>
  </cols>
  <sheetData>
    <row r="1" ht="36" customHeight="1">
      <c r="A1" s="1" t="inlineStr">
        <is>
          <t>BÁO CÁO VẬN HÀNH &amp; LƯƠNG THƯỞNG — MANAGER B</t>
        </is>
      </c>
    </row>
    <row r="2" ht="20" customHeight="1">
      <c r="A2" s="2" t="inlineStr">
        <is>
          <t>Kỳ báo cáo: Tháng 2026-03 | Ngày kết xuất: 09/09/2026 21:51 | Phụ trách: Manager_B</t>
        </is>
      </c>
    </row>
    <row r="3" ht="10" customHeight="1"/>
    <row r="4" ht="20" customHeight="1">
      <c r="A4" s="3" t="inlineStr">
        <is>
          <t>TỔNG NHÂN SỰ</t>
        </is>
      </c>
      <c r="B4" s="3" t="inlineStr">
        <is>
          <t>TỔNG LƯƠNG CƠ BẢN</t>
        </is>
      </c>
      <c r="C4" s="3" t="inlineStr">
        <is>
          <t>TỔNG THƯỞNG</t>
        </is>
      </c>
      <c r="D4" s="3" t="inlineStr">
        <is>
          <t>TỔNG PHẠT</t>
        </is>
      </c>
      <c r="E4" s="3" t="inlineStr">
        <is>
          <t>TỔNG LƯƠNG THỰC NHẬN</t>
        </is>
      </c>
    </row>
    <row r="5" ht="30" customHeight="1">
      <c r="A5" s="4" t="n">
        <v>37</v>
      </c>
      <c r="B5" s="5">
        <f>SUM('Chi Tiết Nhân Sự'!E2:E38)</f>
        <v/>
      </c>
      <c r="C5" s="5">
        <f>SUM('Chi Tiết Nhân Sự'!F2:F38)</f>
        <v/>
      </c>
      <c r="D5" s="5">
        <f>SUM('Chi Tiết Nhân Sự'!G2:G38)</f>
        <v/>
      </c>
      <c r="E5" s="5">
        <f>SUM('Chi Tiết Nhân Sự'!H2:H38)</f>
        <v/>
      </c>
    </row>
    <row r="6" ht="14" customHeight="1"/>
    <row r="7">
      <c r="A7" s="6" t="inlineStr">
        <is>
          <t>I. BẢNG PHÂN BỔ CHI TIẾT THEO PHÒNG BAN QUẢN LÝ</t>
        </is>
      </c>
    </row>
    <row r="8" ht="25" customHeight="1">
      <c r="A8" s="7" t="inlineStr">
        <is>
          <t>Phòng Ban</t>
        </is>
      </c>
      <c r="B8" s="7" t="inlineStr">
        <is>
          <t>Số Nhân Sự</t>
        </is>
      </c>
      <c r="C8" s="7" t="inlineStr">
        <is>
          <t>Tổng Lương Cơ Bản</t>
        </is>
      </c>
      <c r="D8" s="7" t="inlineStr">
        <is>
          <t>Tổng Thưởng</t>
        </is>
      </c>
      <c r="E8" s="7" t="inlineStr">
        <is>
          <t>Tổng Phạt</t>
        </is>
      </c>
      <c r="F8" s="7" t="inlineStr">
        <is>
          <t>Tổng Lương Thực Nhận</t>
        </is>
      </c>
      <c r="G8" s="7" t="inlineStr">
        <is>
          <t>Thực Nhận TB/Người</t>
        </is>
      </c>
    </row>
    <row r="9" ht="20" customHeight="1">
      <c r="A9" s="8" t="inlineStr">
        <is>
          <t>Finance</t>
        </is>
      </c>
      <c r="B9" s="9" t="n">
        <v>6</v>
      </c>
      <c r="C9" s="10" t="n">
        <v>90446500</v>
      </c>
      <c r="D9" s="10" t="n">
        <v>10208345</v>
      </c>
      <c r="E9" s="10" t="n">
        <v>6682110</v>
      </c>
      <c r="F9" s="10" t="n">
        <v>93972735</v>
      </c>
      <c r="G9" s="10" t="n">
        <v>15662122.5</v>
      </c>
    </row>
    <row r="10" ht="20" customHeight="1">
      <c r="A10" s="11" t="inlineStr">
        <is>
          <t>HR</t>
        </is>
      </c>
      <c r="B10" s="12" t="n">
        <v>11</v>
      </c>
      <c r="C10" s="13" t="n">
        <v>198225062</v>
      </c>
      <c r="D10" s="13" t="n">
        <v>24897764</v>
      </c>
      <c r="E10" s="13" t="n">
        <v>8719430</v>
      </c>
      <c r="F10" s="13" t="n">
        <v>214403396</v>
      </c>
      <c r="G10" s="13" t="n">
        <v>19491217.81818182</v>
      </c>
    </row>
    <row r="11" ht="20" customHeight="1">
      <c r="A11" s="8" t="inlineStr">
        <is>
          <t>Operations</t>
        </is>
      </c>
      <c r="B11" s="9" t="n">
        <v>13</v>
      </c>
      <c r="C11" s="10" t="n">
        <v>284521116</v>
      </c>
      <c r="D11" s="10" t="n">
        <v>33348757</v>
      </c>
      <c r="E11" s="10" t="n">
        <v>15898817</v>
      </c>
      <c r="F11" s="10" t="n">
        <v>301971056</v>
      </c>
      <c r="G11" s="10" t="n">
        <v>23228542.76923077</v>
      </c>
    </row>
    <row r="12" ht="20" customHeight="1">
      <c r="A12" s="11" t="inlineStr">
        <is>
          <t>Sales</t>
        </is>
      </c>
      <c r="B12" s="12" t="n">
        <v>7</v>
      </c>
      <c r="C12" s="13" t="n">
        <v>137489076</v>
      </c>
      <c r="D12" s="13" t="n">
        <v>18225695</v>
      </c>
      <c r="E12" s="13" t="n">
        <v>6369074</v>
      </c>
      <c r="F12" s="13" t="n">
        <v>149345697</v>
      </c>
      <c r="G12" s="13" t="n">
        <v>21335099.57142857</v>
      </c>
    </row>
    <row r="13" ht="22" customHeight="1">
      <c r="A13" s="14" t="inlineStr">
        <is>
          <t>TỔNG CỘNG</t>
        </is>
      </c>
      <c r="B13" s="15">
        <f>SUM(B9:B12)</f>
        <v/>
      </c>
      <c r="C13" s="16">
        <f>SUM(C9:C12)</f>
        <v/>
      </c>
      <c r="D13" s="16">
        <f>SUM(D9:D12)</f>
        <v/>
      </c>
      <c r="E13" s="16">
        <f>SUM(E9:E12)</f>
        <v/>
      </c>
      <c r="F13" s="16">
        <f>SUM(F9:F12)</f>
        <v/>
      </c>
      <c r="G13" s="16">
        <f>F13/B13</f>
        <v/>
      </c>
    </row>
    <row r="14"/>
    <row r="15">
      <c r="A15" s="17" t="inlineStr">
        <is>
          <t>II. DANH SÁCH NHÂN SỰ CẦN MANAGER KIỂM TRA &amp; RÀ SOÁT</t>
        </is>
      </c>
    </row>
    <row r="16" ht="24" customHeight="1">
      <c r="A16" s="18" t="inlineStr">
        <is>
          <t>Mã NV</t>
        </is>
      </c>
      <c r="B16" s="18" t="inlineStr">
        <is>
          <t>Họ &amp; Tên</t>
        </is>
      </c>
      <c r="C16" s="18" t="inlineStr">
        <is>
          <t>Phòng Ban</t>
        </is>
      </c>
      <c r="D16" s="18" t="inlineStr">
        <is>
          <t>Thưởng (VND)</t>
        </is>
      </c>
      <c r="E16" s="18" t="inlineStr">
        <is>
          <t>Phạt (VND)</t>
        </is>
      </c>
      <c r="F16" s="18" t="inlineStr">
        <is>
          <t>Lương Thực Nhận</t>
        </is>
      </c>
      <c r="G16" s="18" t="inlineStr">
        <is>
          <t>Nội Dung Lưu Ý &amp; Khuyến Nghị</t>
        </is>
      </c>
    </row>
    <row r="17" ht="20" customHeight="1">
      <c r="A17" s="19" t="inlineStr">
        <is>
          <t>E001</t>
        </is>
      </c>
      <c r="B17" s="20" t="inlineStr">
        <is>
          <t>Employee_1</t>
        </is>
      </c>
      <c r="C17" s="19" t="inlineStr">
        <is>
          <t>Operations</t>
        </is>
      </c>
      <c r="D17" s="21" t="n">
        <v>4117307</v>
      </c>
      <c r="E17" s="21" t="n">
        <v>939890</v>
      </c>
      <c r="F17" s="21" t="n">
        <v>32850321</v>
      </c>
      <c r="G17" s="20" t="inlineStr">
        <is>
          <t>Mức thưởng xuất sắc vượt trội</t>
        </is>
      </c>
    </row>
    <row r="18" ht="20" customHeight="1">
      <c r="A18" s="19" t="inlineStr">
        <is>
          <t>E007</t>
        </is>
      </c>
      <c r="B18" s="20" t="inlineStr">
        <is>
          <t>Employee_7</t>
        </is>
      </c>
      <c r="C18" s="19" t="inlineStr">
        <is>
          <t>HR</t>
        </is>
      </c>
      <c r="D18" s="21" t="n">
        <v>4061752</v>
      </c>
      <c r="E18" s="21" t="n">
        <v>579861</v>
      </c>
      <c r="F18" s="21" t="n">
        <v>18742554</v>
      </c>
      <c r="G18" s="20" t="inlineStr">
        <is>
          <t>Mức thưởng xuất sắc vượt trội</t>
        </is>
      </c>
    </row>
    <row r="19" ht="20" customHeight="1">
      <c r="A19" s="22" t="inlineStr">
        <is>
          <t>E010</t>
        </is>
      </c>
      <c r="B19" s="23" t="inlineStr">
        <is>
          <t>Employee_10</t>
        </is>
      </c>
      <c r="C19" s="22" t="inlineStr">
        <is>
          <t>Finance</t>
        </is>
      </c>
      <c r="D19" s="24" t="n">
        <v>457397</v>
      </c>
      <c r="E19" s="24" t="n">
        <v>1160477</v>
      </c>
      <c r="F19" s="24" t="n">
        <v>8824173</v>
      </c>
      <c r="G19" s="23" t="inlineStr">
        <is>
          <t>Mức phạt vượt trần cảnh báo</t>
        </is>
      </c>
    </row>
    <row r="20" ht="20" customHeight="1">
      <c r="A20" s="25" t="inlineStr">
        <is>
          <t>E033</t>
        </is>
      </c>
      <c r="B20" s="26" t="inlineStr">
        <is>
          <t>Employee_33</t>
        </is>
      </c>
      <c r="C20" s="25" t="inlineStr">
        <is>
          <t>Operations</t>
        </is>
      </c>
      <c r="D20" s="27" t="n">
        <v>3709689</v>
      </c>
      <c r="E20" s="27" t="n">
        <v>1921143</v>
      </c>
      <c r="F20" s="27" t="n">
        <v>27202082</v>
      </c>
      <c r="G20" s="26" t="inlineStr">
        <is>
          <t>Mức phạt vượt trần cảnh báo</t>
        </is>
      </c>
    </row>
    <row r="21" ht="20" customHeight="1">
      <c r="A21" s="19" t="inlineStr">
        <is>
          <t>E044</t>
        </is>
      </c>
      <c r="B21" s="20" t="inlineStr">
        <is>
          <t>Employee_44</t>
        </is>
      </c>
      <c r="C21" s="19" t="inlineStr">
        <is>
          <t>HR</t>
        </is>
      </c>
      <c r="D21" s="21" t="n">
        <v>4620772</v>
      </c>
      <c r="E21" s="21" t="n">
        <v>28677</v>
      </c>
      <c r="F21" s="21" t="n">
        <v>23019139</v>
      </c>
      <c r="G21" s="20" t="inlineStr">
        <is>
          <t>Mức thưởng xuất sắc vượt trội</t>
        </is>
      </c>
    </row>
    <row r="22" ht="20" customHeight="1">
      <c r="A22" s="25" t="inlineStr">
        <is>
          <t>E078</t>
        </is>
      </c>
      <c r="B22" s="26" t="inlineStr">
        <is>
          <t>Employee_78</t>
        </is>
      </c>
      <c r="C22" s="25" t="inlineStr">
        <is>
          <t>Finance</t>
        </is>
      </c>
      <c r="D22" s="27" t="n">
        <v>815070</v>
      </c>
      <c r="E22" s="27" t="n">
        <v>1894574</v>
      </c>
      <c r="F22" s="27" t="n">
        <v>11510045</v>
      </c>
      <c r="G22" s="26" t="inlineStr">
        <is>
          <t>Mức phạt vượt trần cảnh báo</t>
        </is>
      </c>
    </row>
    <row r="23" ht="20" customHeight="1">
      <c r="A23" s="22" t="inlineStr">
        <is>
          <t>E090</t>
        </is>
      </c>
      <c r="B23" s="23" t="inlineStr">
        <is>
          <t>Employee_90</t>
        </is>
      </c>
      <c r="C23" s="22" t="inlineStr">
        <is>
          <t>Sales</t>
        </is>
      </c>
      <c r="D23" s="24" t="n">
        <v>2553195</v>
      </c>
      <c r="E23" s="24" t="n">
        <v>1033108</v>
      </c>
      <c r="F23" s="24" t="n">
        <v>10768718</v>
      </c>
      <c r="G23" s="23" t="inlineStr">
        <is>
          <t>Mức phạt vượt trần cảnh báo</t>
        </is>
      </c>
    </row>
    <row r="24" ht="20" customHeight="1">
      <c r="A24" s="25" t="inlineStr">
        <is>
          <t>E093</t>
        </is>
      </c>
      <c r="B24" s="26" t="inlineStr">
        <is>
          <t>Employee_93</t>
        </is>
      </c>
      <c r="C24" s="25" t="inlineStr">
        <is>
          <t>Operations</t>
        </is>
      </c>
      <c r="D24" s="27" t="n">
        <v>830653</v>
      </c>
      <c r="E24" s="27" t="n">
        <v>1748381</v>
      </c>
      <c r="F24" s="27" t="n">
        <v>29057804</v>
      </c>
      <c r="G24" s="26" t="inlineStr">
        <is>
          <t>Mức phạt vượt trần cảnh báo</t>
        </is>
      </c>
    </row>
    <row r="25" ht="20" customHeight="1">
      <c r="A25" s="22" t="inlineStr">
        <is>
          <t>E096</t>
        </is>
      </c>
      <c r="B25" s="23" t="inlineStr">
        <is>
          <t>Employee_96</t>
        </is>
      </c>
      <c r="C25" s="22" t="inlineStr">
        <is>
          <t>Finance</t>
        </is>
      </c>
      <c r="D25" s="24" t="n">
        <v>3081428</v>
      </c>
      <c r="E25" s="24" t="n">
        <v>1141827</v>
      </c>
      <c r="F25" s="24" t="n">
        <v>13273388</v>
      </c>
      <c r="G25" s="23" t="inlineStr">
        <is>
          <t>Mức phạt vượt trần cảnh báo</t>
        </is>
      </c>
    </row>
    <row r="26" ht="20" customHeight="1">
      <c r="A26" s="25" t="inlineStr">
        <is>
          <t>E101</t>
        </is>
      </c>
      <c r="B26" s="26" t="inlineStr">
        <is>
          <t>Employee_101</t>
        </is>
      </c>
      <c r="C26" s="25" t="inlineStr">
        <is>
          <t>HR</t>
        </is>
      </c>
      <c r="D26" s="27" t="n">
        <v>1237774</v>
      </c>
      <c r="E26" s="27" t="n">
        <v>1653905</v>
      </c>
      <c r="F26" s="27" t="n">
        <v>18608498</v>
      </c>
      <c r="G26" s="26" t="inlineStr">
        <is>
          <t>Mức phạt vượt trần cảnh báo</t>
        </is>
      </c>
    </row>
    <row r="27" ht="20" customHeight="1">
      <c r="A27" s="22" t="inlineStr">
        <is>
          <t>E111</t>
        </is>
      </c>
      <c r="B27" s="23" t="inlineStr">
        <is>
          <t>Employee_111</t>
        </is>
      </c>
      <c r="C27" s="22" t="inlineStr">
        <is>
          <t>Sales</t>
        </is>
      </c>
      <c r="D27" s="24" t="n">
        <v>2307001</v>
      </c>
      <c r="E27" s="24" t="n">
        <v>1309288</v>
      </c>
      <c r="F27" s="24" t="n">
        <v>13232000</v>
      </c>
      <c r="G27" s="23" t="inlineStr">
        <is>
          <t>Mức phạt vượt trần cảnh báo</t>
        </is>
      </c>
    </row>
    <row r="28" ht="20" customHeight="1">
      <c r="A28" s="25" t="inlineStr">
        <is>
          <t>E127</t>
        </is>
      </c>
      <c r="B28" s="26" t="inlineStr">
        <is>
          <t>Employee_127</t>
        </is>
      </c>
      <c r="C28" s="25" t="inlineStr">
        <is>
          <t>Operations</t>
        </is>
      </c>
      <c r="D28" s="27" t="n">
        <v>1190130</v>
      </c>
      <c r="E28" s="27" t="n">
        <v>1553924</v>
      </c>
      <c r="F28" s="27" t="n">
        <v>9971105</v>
      </c>
      <c r="G28" s="26" t="inlineStr">
        <is>
          <t>Mức phạt vượt trần cảnh báo</t>
        </is>
      </c>
    </row>
    <row r="29" ht="20" customHeight="1">
      <c r="A29" s="25" t="inlineStr">
        <is>
          <t>E150</t>
        </is>
      </c>
      <c r="B29" s="26" t="inlineStr">
        <is>
          <t>Employee_150</t>
        </is>
      </c>
      <c r="C29" s="25" t="inlineStr">
        <is>
          <t>HR</t>
        </is>
      </c>
      <c r="D29" s="27" t="n">
        <v>1282364</v>
      </c>
      <c r="E29" s="27" t="n">
        <v>1594287</v>
      </c>
      <c r="F29" s="27" t="n">
        <v>27901232</v>
      </c>
      <c r="G29" s="26" t="inlineStr">
        <is>
          <t>Mức phạt vượt trần cảnh báo</t>
        </is>
      </c>
    </row>
    <row r="30" ht="20" customHeight="1">
      <c r="A30" s="19" t="inlineStr">
        <is>
          <t>E161</t>
        </is>
      </c>
      <c r="B30" s="20" t="inlineStr">
        <is>
          <t>Employee_161</t>
        </is>
      </c>
      <c r="C30" s="19" t="inlineStr">
        <is>
          <t>Operations</t>
        </is>
      </c>
      <c r="D30" s="21" t="n">
        <v>4396205</v>
      </c>
      <c r="E30" s="21" t="n">
        <v>1096282</v>
      </c>
      <c r="F30" s="21" t="n">
        <v>26044471</v>
      </c>
      <c r="G30" s="20" t="inlineStr">
        <is>
          <t>Mức thưởng xuất sắc vượt trội</t>
        </is>
      </c>
    </row>
    <row r="31" ht="20" customHeight="1">
      <c r="A31" s="19" t="inlineStr">
        <is>
          <t>E170</t>
        </is>
      </c>
      <c r="B31" s="20" t="inlineStr">
        <is>
          <t>Employee_170</t>
        </is>
      </c>
      <c r="C31" s="19" t="inlineStr">
        <is>
          <t>HR</t>
        </is>
      </c>
      <c r="D31" s="21" t="n">
        <v>4079136</v>
      </c>
      <c r="E31" s="21" t="n">
        <v>402664</v>
      </c>
      <c r="F31" s="21" t="n">
        <v>23143106</v>
      </c>
      <c r="G31" s="20" t="inlineStr">
        <is>
          <t>Mức thưởng xuất sắc vượt trội</t>
        </is>
      </c>
    </row>
    <row r="32" ht="20" customHeight="1">
      <c r="A32" s="25" t="inlineStr">
        <is>
          <t>E175</t>
        </is>
      </c>
      <c r="B32" s="26" t="inlineStr">
        <is>
          <t>Employee_175</t>
        </is>
      </c>
      <c r="C32" s="25" t="inlineStr">
        <is>
          <t>Operations</t>
        </is>
      </c>
      <c r="D32" s="27" t="n">
        <v>2390148</v>
      </c>
      <c r="E32" s="27" t="n">
        <v>1577878</v>
      </c>
      <c r="F32" s="27" t="n">
        <v>29300452</v>
      </c>
      <c r="G32" s="26" t="inlineStr">
        <is>
          <t>Mức phạt vượt trần cảnh báo</t>
        </is>
      </c>
    </row>
    <row r="33" ht="20" customHeight="1">
      <c r="A33" s="25" t="inlineStr">
        <is>
          <t>E183</t>
        </is>
      </c>
      <c r="B33" s="26" t="inlineStr">
        <is>
          <t>Employee_183</t>
        </is>
      </c>
      <c r="C33" s="25" t="inlineStr">
        <is>
          <t>Operations</t>
        </is>
      </c>
      <c r="D33" s="27" t="n">
        <v>1862589</v>
      </c>
      <c r="E33" s="27" t="n">
        <v>1712750</v>
      </c>
      <c r="F33" s="27" t="n">
        <v>11227235</v>
      </c>
      <c r="G33" s="26" t="inlineStr">
        <is>
          <t>Mức phạt vượt trần cảnh báo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5" customWidth="1" min="4" max="4"/>
    <col width="21" customWidth="1" min="5" max="5"/>
    <col width="21" customWidth="1" min="6" max="6"/>
    <col width="21" customWidth="1" min="7" max="7"/>
    <col width="21" customWidth="1" min="8" max="8"/>
    <col width="12" customWidth="1" min="9" max="9"/>
    <col width="32" customWidth="1" min="10" max="10"/>
  </cols>
  <sheetData>
    <row r="1" ht="28" customHeight="1">
      <c r="A1" s="28" t="inlineStr">
        <is>
          <t>STT</t>
        </is>
      </c>
      <c r="B1" s="28" t="inlineStr">
        <is>
          <t>Mã NV</t>
        </is>
      </c>
      <c r="C1" s="28" t="inlineStr">
        <is>
          <t>Họ Tên</t>
        </is>
      </c>
      <c r="D1" s="28" t="inlineStr">
        <is>
          <t>Phòng Ban</t>
        </is>
      </c>
      <c r="E1" s="28" t="inlineStr">
        <is>
          <t>Lương Cơ Bản</t>
        </is>
      </c>
      <c r="F1" s="28" t="inlineStr">
        <is>
          <t>Thưởng</t>
        </is>
      </c>
      <c r="G1" s="28" t="inlineStr">
        <is>
          <t>Phạt</t>
        </is>
      </c>
      <c r="H1" s="28" t="inlineStr">
        <is>
          <t>Lương Thực Nhận</t>
        </is>
      </c>
      <c r="I1" s="28" t="inlineStr">
        <is>
          <t>Kỳ</t>
        </is>
      </c>
      <c r="J1" s="28" t="inlineStr">
        <is>
          <t>Ghi Chú Kiểm Toán</t>
        </is>
      </c>
    </row>
    <row r="2" ht="20" customHeight="1">
      <c r="A2" s="29" t="n">
        <v>1</v>
      </c>
      <c r="B2" s="29" t="inlineStr">
        <is>
          <t>E001</t>
        </is>
      </c>
      <c r="C2" s="11" t="inlineStr">
        <is>
          <t>Employee_1</t>
        </is>
      </c>
      <c r="D2" s="29" t="inlineStr">
        <is>
          <t>Operations</t>
        </is>
      </c>
      <c r="E2" s="13" t="n">
        <v>29672904</v>
      </c>
      <c r="F2" s="30" t="n">
        <v>4117307</v>
      </c>
      <c r="G2" s="13" t="n">
        <v>939890</v>
      </c>
      <c r="H2" s="13">
        <f>E2+F2-G2</f>
        <v/>
      </c>
      <c r="I2" s="29" t="inlineStr">
        <is>
          <t>2026-03</t>
        </is>
      </c>
      <c r="J2" s="11" t="inlineStr">
        <is>
          <t>Mức thưởng xuất sắc vượt trội</t>
        </is>
      </c>
    </row>
    <row r="3" ht="20" customHeight="1">
      <c r="A3" s="31" t="n">
        <v>2</v>
      </c>
      <c r="B3" s="31" t="inlineStr">
        <is>
          <t>E003</t>
        </is>
      </c>
      <c r="C3" s="8" t="inlineStr">
        <is>
          <t>Employee_3</t>
        </is>
      </c>
      <c r="D3" s="31" t="inlineStr">
        <is>
          <t>Finance</t>
        </is>
      </c>
      <c r="E3" s="10" t="n">
        <v>27513767</v>
      </c>
      <c r="F3" s="10" t="n">
        <v>3095567</v>
      </c>
      <c r="G3" s="10" t="n">
        <v>992499</v>
      </c>
      <c r="H3" s="10">
        <f>E3+F3-G3</f>
        <v/>
      </c>
      <c r="I3" s="31" t="inlineStr">
        <is>
          <t>2026-03</t>
        </is>
      </c>
      <c r="J3" s="8" t="inlineStr">
        <is>
          <t>Hợp lệ</t>
        </is>
      </c>
    </row>
    <row r="4" ht="20" customHeight="1">
      <c r="A4" s="29" t="n">
        <v>3</v>
      </c>
      <c r="B4" s="29" t="inlineStr">
        <is>
          <t>E007</t>
        </is>
      </c>
      <c r="C4" s="11" t="inlineStr">
        <is>
          <t>Employee_7</t>
        </is>
      </c>
      <c r="D4" s="29" t="inlineStr">
        <is>
          <t>HR</t>
        </is>
      </c>
      <c r="E4" s="13" t="n">
        <v>15260663</v>
      </c>
      <c r="F4" s="30" t="n">
        <v>4061752</v>
      </c>
      <c r="G4" s="13" t="n">
        <v>579861</v>
      </c>
      <c r="H4" s="13">
        <f>E4+F4-G4</f>
        <v/>
      </c>
      <c r="I4" s="29" t="inlineStr">
        <is>
          <t>2026-03</t>
        </is>
      </c>
      <c r="J4" s="11" t="inlineStr">
        <is>
          <t>Mức thưởng xuất sắc vượt trội</t>
        </is>
      </c>
    </row>
    <row r="5" ht="20" customHeight="1">
      <c r="A5" s="31" t="n">
        <v>4</v>
      </c>
      <c r="B5" s="31" t="inlineStr">
        <is>
          <t>E010</t>
        </is>
      </c>
      <c r="C5" s="8" t="inlineStr">
        <is>
          <t>Employee_10</t>
        </is>
      </c>
      <c r="D5" s="31" t="inlineStr">
        <is>
          <t>Finance</t>
        </is>
      </c>
      <c r="E5" s="10" t="n">
        <v>9527253</v>
      </c>
      <c r="F5" s="10" t="n">
        <v>457397</v>
      </c>
      <c r="G5" s="10" t="n">
        <v>1160477</v>
      </c>
      <c r="H5" s="10">
        <f>E5+F5-G5</f>
        <v/>
      </c>
      <c r="I5" s="31" t="inlineStr">
        <is>
          <t>2026-03</t>
        </is>
      </c>
      <c r="J5" s="8" t="inlineStr">
        <is>
          <t>Mức phạt vượt trần cảnh báo</t>
        </is>
      </c>
    </row>
    <row r="6" ht="20" customHeight="1">
      <c r="A6" s="29" t="n">
        <v>5</v>
      </c>
      <c r="B6" s="29" t="inlineStr">
        <is>
          <t>E025</t>
        </is>
      </c>
      <c r="C6" s="11" t="inlineStr">
        <is>
          <t>Employee_25</t>
        </is>
      </c>
      <c r="D6" s="29" t="inlineStr">
        <is>
          <t>HR</t>
        </is>
      </c>
      <c r="E6" s="13" t="n">
        <v>16913146</v>
      </c>
      <c r="F6" s="13" t="n">
        <v>1193164</v>
      </c>
      <c r="G6" s="13" t="n">
        <v>149757</v>
      </c>
      <c r="H6" s="13">
        <f>E6+F6-G6</f>
        <v/>
      </c>
      <c r="I6" s="29" t="inlineStr">
        <is>
          <t>2026-03</t>
        </is>
      </c>
      <c r="J6" s="11" t="inlineStr">
        <is>
          <t>Hợp lệ</t>
        </is>
      </c>
    </row>
    <row r="7" ht="20" customHeight="1">
      <c r="A7" s="31" t="n">
        <v>6</v>
      </c>
      <c r="B7" s="31" t="inlineStr">
        <is>
          <t>E033</t>
        </is>
      </c>
      <c r="C7" s="8" t="inlineStr">
        <is>
          <t>Employee_33</t>
        </is>
      </c>
      <c r="D7" s="31" t="inlineStr">
        <is>
          <t>Operations</t>
        </is>
      </c>
      <c r="E7" s="10" t="n">
        <v>25413536</v>
      </c>
      <c r="F7" s="10" t="n">
        <v>3709689</v>
      </c>
      <c r="G7" s="32" t="n">
        <v>1921143</v>
      </c>
      <c r="H7" s="10">
        <f>E7+F7-G7</f>
        <v/>
      </c>
      <c r="I7" s="31" t="inlineStr">
        <is>
          <t>2026-03</t>
        </is>
      </c>
      <c r="J7" s="8" t="inlineStr">
        <is>
          <t>Mức phạt vượt trần cảnh báo</t>
        </is>
      </c>
    </row>
    <row r="8" ht="20" customHeight="1">
      <c r="A8" s="29" t="n">
        <v>7</v>
      </c>
      <c r="B8" s="29" t="inlineStr">
        <is>
          <t>E044</t>
        </is>
      </c>
      <c r="C8" s="11" t="inlineStr">
        <is>
          <t>Employee_44</t>
        </is>
      </c>
      <c r="D8" s="29" t="inlineStr">
        <is>
          <t>HR</t>
        </is>
      </c>
      <c r="E8" s="13" t="n">
        <v>18427044</v>
      </c>
      <c r="F8" s="30" t="n">
        <v>4620772</v>
      </c>
      <c r="G8" s="13" t="n">
        <v>28677</v>
      </c>
      <c r="H8" s="13">
        <f>E8+F8-G8</f>
        <v/>
      </c>
      <c r="I8" s="29" t="inlineStr">
        <is>
          <t>2026-03</t>
        </is>
      </c>
      <c r="J8" s="11" t="inlineStr">
        <is>
          <t>Mức thưởng xuất sắc vượt trội</t>
        </is>
      </c>
    </row>
    <row r="9" ht="20" customHeight="1">
      <c r="A9" s="31" t="n">
        <v>8</v>
      </c>
      <c r="B9" s="31" t="inlineStr">
        <is>
          <t>E049</t>
        </is>
      </c>
      <c r="C9" s="8" t="inlineStr">
        <is>
          <t>Employee_49</t>
        </is>
      </c>
      <c r="D9" s="31" t="inlineStr">
        <is>
          <t>Sales</t>
        </is>
      </c>
      <c r="E9" s="10" t="n">
        <v>17269324</v>
      </c>
      <c r="F9" s="10" t="n">
        <v>3480789</v>
      </c>
      <c r="G9" s="10" t="n">
        <v>712770</v>
      </c>
      <c r="H9" s="10">
        <f>E9+F9-G9</f>
        <v/>
      </c>
      <c r="I9" s="31" t="inlineStr">
        <is>
          <t>2026-03</t>
        </is>
      </c>
      <c r="J9" s="8" t="inlineStr">
        <is>
          <t>Hợp lệ</t>
        </is>
      </c>
    </row>
    <row r="10" ht="20" customHeight="1">
      <c r="A10" s="29" t="n">
        <v>9</v>
      </c>
      <c r="B10" s="29" t="inlineStr">
        <is>
          <t>E059</t>
        </is>
      </c>
      <c r="C10" s="11" t="inlineStr">
        <is>
          <t>Employee_59</t>
        </is>
      </c>
      <c r="D10" s="29" t="inlineStr">
        <is>
          <t>Sales</t>
        </is>
      </c>
      <c r="E10" s="13" t="n">
        <v>23753490</v>
      </c>
      <c r="F10" s="13" t="n">
        <v>2223172</v>
      </c>
      <c r="G10" s="13" t="n">
        <v>710014</v>
      </c>
      <c r="H10" s="13">
        <f>E10+F10-G10</f>
        <v/>
      </c>
      <c r="I10" s="29" t="inlineStr">
        <is>
          <t>2026-03</t>
        </is>
      </c>
      <c r="J10" s="11" t="inlineStr">
        <is>
          <t>Hợp lệ</t>
        </is>
      </c>
    </row>
    <row r="11" ht="20" customHeight="1">
      <c r="A11" s="31" t="n">
        <v>10</v>
      </c>
      <c r="B11" s="31" t="inlineStr">
        <is>
          <t>E064</t>
        </is>
      </c>
      <c r="C11" s="8" t="inlineStr">
        <is>
          <t>Employee_64</t>
        </is>
      </c>
      <c r="D11" s="31" t="inlineStr">
        <is>
          <t>Finance</t>
        </is>
      </c>
      <c r="E11" s="10" t="n">
        <v>8971308</v>
      </c>
      <c r="F11" s="10" t="n">
        <v>385800</v>
      </c>
      <c r="G11" s="10" t="n">
        <v>680262</v>
      </c>
      <c r="H11" s="10">
        <f>E11+F11-G11</f>
        <v/>
      </c>
      <c r="I11" s="31" t="inlineStr">
        <is>
          <t>2026-03</t>
        </is>
      </c>
      <c r="J11" s="8" t="inlineStr">
        <is>
          <t>Hợp lệ</t>
        </is>
      </c>
    </row>
    <row r="12" ht="20" customHeight="1">
      <c r="A12" s="29" t="n">
        <v>11</v>
      </c>
      <c r="B12" s="29" t="inlineStr">
        <is>
          <t>E066</t>
        </is>
      </c>
      <c r="C12" s="11" t="inlineStr">
        <is>
          <t>Employee_66</t>
        </is>
      </c>
      <c r="D12" s="29" t="inlineStr">
        <is>
          <t>HR</t>
        </is>
      </c>
      <c r="E12" s="13" t="n">
        <v>25822984</v>
      </c>
      <c r="F12" s="13" t="n">
        <v>3456540</v>
      </c>
      <c r="G12" s="13" t="n">
        <v>1186837</v>
      </c>
      <c r="H12" s="13">
        <f>E12+F12-G12</f>
        <v/>
      </c>
      <c r="I12" s="29" t="inlineStr">
        <is>
          <t>2026-03</t>
        </is>
      </c>
      <c r="J12" s="11" t="inlineStr">
        <is>
          <t>Hợp lệ</t>
        </is>
      </c>
    </row>
    <row r="13" ht="20" customHeight="1">
      <c r="A13" s="31" t="n">
        <v>12</v>
      </c>
      <c r="B13" s="31" t="inlineStr">
        <is>
          <t>E067</t>
        </is>
      </c>
      <c r="C13" s="8" t="inlineStr">
        <is>
          <t>Employee_67</t>
        </is>
      </c>
      <c r="D13" s="31" t="inlineStr">
        <is>
          <t>HR</t>
        </is>
      </c>
      <c r="E13" s="10" t="n">
        <v>13874352</v>
      </c>
      <c r="F13" s="10" t="n">
        <v>662434</v>
      </c>
      <c r="G13" s="10" t="n">
        <v>1278196</v>
      </c>
      <c r="H13" s="10">
        <f>E13+F13-G13</f>
        <v/>
      </c>
      <c r="I13" s="31" t="inlineStr">
        <is>
          <t>2026-03</t>
        </is>
      </c>
      <c r="J13" s="8" t="inlineStr">
        <is>
          <t>Hợp lệ</t>
        </is>
      </c>
    </row>
    <row r="14" ht="20" customHeight="1">
      <c r="A14" s="29" t="n">
        <v>13</v>
      </c>
      <c r="B14" s="29" t="inlineStr">
        <is>
          <t>E069</t>
        </is>
      </c>
      <c r="C14" s="11" t="inlineStr">
        <is>
          <t>Employee_69</t>
        </is>
      </c>
      <c r="D14" s="29" t="inlineStr">
        <is>
          <t>Operations</t>
        </is>
      </c>
      <c r="E14" s="13" t="n">
        <v>29404527</v>
      </c>
      <c r="F14" s="13" t="n">
        <v>2130516</v>
      </c>
      <c r="G14" s="13" t="n">
        <v>963789</v>
      </c>
      <c r="H14" s="13">
        <f>E14+F14-G14</f>
        <v/>
      </c>
      <c r="I14" s="29" t="inlineStr">
        <is>
          <t>2026-03</t>
        </is>
      </c>
      <c r="J14" s="11" t="inlineStr">
        <is>
          <t>Hợp lệ</t>
        </is>
      </c>
    </row>
    <row r="15" ht="20" customHeight="1">
      <c r="A15" s="31" t="n">
        <v>14</v>
      </c>
      <c r="B15" s="31" t="inlineStr">
        <is>
          <t>E071</t>
        </is>
      </c>
      <c r="C15" s="8" t="inlineStr">
        <is>
          <t>Employee_71</t>
        </is>
      </c>
      <c r="D15" s="31" t="inlineStr">
        <is>
          <t>Sales</t>
        </is>
      </c>
      <c r="E15" s="10" t="n">
        <v>22821991</v>
      </c>
      <c r="F15" s="10" t="n">
        <v>2898814</v>
      </c>
      <c r="G15" s="10" t="n">
        <v>1232227</v>
      </c>
      <c r="H15" s="10">
        <f>E15+F15-G15</f>
        <v/>
      </c>
      <c r="I15" s="31" t="inlineStr">
        <is>
          <t>2026-03</t>
        </is>
      </c>
      <c r="J15" s="8" t="inlineStr">
        <is>
          <t>Hợp lệ</t>
        </is>
      </c>
    </row>
    <row r="16" ht="20" customHeight="1">
      <c r="A16" s="29" t="n">
        <v>15</v>
      </c>
      <c r="B16" s="29" t="inlineStr">
        <is>
          <t>E074</t>
        </is>
      </c>
      <c r="C16" s="11" t="inlineStr">
        <is>
          <t>Employee_74</t>
        </is>
      </c>
      <c r="D16" s="29" t="inlineStr">
        <is>
          <t>Operations</t>
        </is>
      </c>
      <c r="E16" s="13" t="n">
        <v>27190541</v>
      </c>
      <c r="F16" s="13" t="n">
        <v>3011167</v>
      </c>
      <c r="G16" s="13" t="n">
        <v>1205467</v>
      </c>
      <c r="H16" s="13">
        <f>E16+F16-G16</f>
        <v/>
      </c>
      <c r="I16" s="29" t="inlineStr">
        <is>
          <t>2026-03</t>
        </is>
      </c>
      <c r="J16" s="11" t="inlineStr">
        <is>
          <t>Hợp lệ</t>
        </is>
      </c>
    </row>
    <row r="17" ht="20" customHeight="1">
      <c r="A17" s="31" t="n">
        <v>16</v>
      </c>
      <c r="B17" s="31" t="inlineStr">
        <is>
          <t>E078</t>
        </is>
      </c>
      <c r="C17" s="8" t="inlineStr">
        <is>
          <t>Employee_78</t>
        </is>
      </c>
      <c r="D17" s="31" t="inlineStr">
        <is>
          <t>Finance</t>
        </is>
      </c>
      <c r="E17" s="10" t="n">
        <v>12589549</v>
      </c>
      <c r="F17" s="10" t="n">
        <v>815070</v>
      </c>
      <c r="G17" s="32" t="n">
        <v>1894574</v>
      </c>
      <c r="H17" s="10">
        <f>E17+F17-G17</f>
        <v/>
      </c>
      <c r="I17" s="31" t="inlineStr">
        <is>
          <t>2026-03</t>
        </is>
      </c>
      <c r="J17" s="8" t="inlineStr">
        <is>
          <t>Mức phạt vượt trần cảnh báo</t>
        </is>
      </c>
    </row>
    <row r="18" ht="20" customHeight="1">
      <c r="A18" s="29" t="n">
        <v>17</v>
      </c>
      <c r="B18" s="29" t="inlineStr">
        <is>
          <t>E090</t>
        </is>
      </c>
      <c r="C18" s="11" t="inlineStr">
        <is>
          <t>Employee_90</t>
        </is>
      </c>
      <c r="D18" s="29" t="inlineStr">
        <is>
          <t>Sales</t>
        </is>
      </c>
      <c r="E18" s="13" t="n">
        <v>9248631</v>
      </c>
      <c r="F18" s="13" t="n">
        <v>2553195</v>
      </c>
      <c r="G18" s="13" t="n">
        <v>1033108</v>
      </c>
      <c r="H18" s="13">
        <f>E18+F18-G18</f>
        <v/>
      </c>
      <c r="I18" s="29" t="inlineStr">
        <is>
          <t>2026-03</t>
        </is>
      </c>
      <c r="J18" s="11" t="inlineStr">
        <is>
          <t>Mức phạt vượt trần cảnh báo</t>
        </is>
      </c>
    </row>
    <row r="19" ht="20" customHeight="1">
      <c r="A19" s="31" t="n">
        <v>18</v>
      </c>
      <c r="B19" s="31" t="inlineStr">
        <is>
          <t>E093</t>
        </is>
      </c>
      <c r="C19" s="8" t="inlineStr">
        <is>
          <t>Employee_93</t>
        </is>
      </c>
      <c r="D19" s="31" t="inlineStr">
        <is>
          <t>Operations</t>
        </is>
      </c>
      <c r="E19" s="10" t="n">
        <v>29975532</v>
      </c>
      <c r="F19" s="10" t="n">
        <v>830653</v>
      </c>
      <c r="G19" s="32" t="n">
        <v>1748381</v>
      </c>
      <c r="H19" s="10">
        <f>E19+F19-G19</f>
        <v/>
      </c>
      <c r="I19" s="31" t="inlineStr">
        <is>
          <t>2026-03</t>
        </is>
      </c>
      <c r="J19" s="8" t="inlineStr">
        <is>
          <t>Mức phạt vượt trần cảnh báo</t>
        </is>
      </c>
    </row>
    <row r="20" ht="20" customHeight="1">
      <c r="A20" s="29" t="n">
        <v>19</v>
      </c>
      <c r="B20" s="29" t="inlineStr">
        <is>
          <t>E096</t>
        </is>
      </c>
      <c r="C20" s="11" t="inlineStr">
        <is>
          <t>Employee_96</t>
        </is>
      </c>
      <c r="D20" s="29" t="inlineStr">
        <is>
          <t>Finance</t>
        </is>
      </c>
      <c r="E20" s="13" t="n">
        <v>11333787</v>
      </c>
      <c r="F20" s="13" t="n">
        <v>3081428</v>
      </c>
      <c r="G20" s="13" t="n">
        <v>1141827</v>
      </c>
      <c r="H20" s="13">
        <f>E20+F20-G20</f>
        <v/>
      </c>
      <c r="I20" s="29" t="inlineStr">
        <is>
          <t>2026-03</t>
        </is>
      </c>
      <c r="J20" s="11" t="inlineStr">
        <is>
          <t>Mức phạt vượt trần cảnh báo</t>
        </is>
      </c>
    </row>
    <row r="21" ht="20" customHeight="1">
      <c r="A21" s="31" t="n">
        <v>20</v>
      </c>
      <c r="B21" s="31" t="inlineStr">
        <is>
          <t>E100</t>
        </is>
      </c>
      <c r="C21" s="8" t="inlineStr">
        <is>
          <t>Employee_100</t>
        </is>
      </c>
      <c r="D21" s="31" t="inlineStr">
        <is>
          <t>Sales</t>
        </is>
      </c>
      <c r="E21" s="10" t="n">
        <v>26596127</v>
      </c>
      <c r="F21" s="10" t="n">
        <v>1737761</v>
      </c>
      <c r="G21" s="10" t="n">
        <v>1229734</v>
      </c>
      <c r="H21" s="10">
        <f>E21+F21-G21</f>
        <v/>
      </c>
      <c r="I21" s="31" t="inlineStr">
        <is>
          <t>2026-03</t>
        </is>
      </c>
      <c r="J21" s="8" t="inlineStr">
        <is>
          <t>Hợp lệ</t>
        </is>
      </c>
    </row>
    <row r="22" ht="20" customHeight="1">
      <c r="A22" s="29" t="n">
        <v>21</v>
      </c>
      <c r="B22" s="29" t="inlineStr">
        <is>
          <t>E101</t>
        </is>
      </c>
      <c r="C22" s="11" t="inlineStr">
        <is>
          <t>Employee_101</t>
        </is>
      </c>
      <c r="D22" s="29" t="inlineStr">
        <is>
          <t>HR</t>
        </is>
      </c>
      <c r="E22" s="13" t="n">
        <v>19024629</v>
      </c>
      <c r="F22" s="13" t="n">
        <v>1237774</v>
      </c>
      <c r="G22" s="32" t="n">
        <v>1653905</v>
      </c>
      <c r="H22" s="13">
        <f>E22+F22-G22</f>
        <v/>
      </c>
      <c r="I22" s="29" t="inlineStr">
        <is>
          <t>2026-03</t>
        </is>
      </c>
      <c r="J22" s="11" t="inlineStr">
        <is>
          <t>Mức phạt vượt trần cảnh báo</t>
        </is>
      </c>
    </row>
    <row r="23" ht="20" customHeight="1">
      <c r="A23" s="31" t="n">
        <v>22</v>
      </c>
      <c r="B23" s="31" t="inlineStr">
        <is>
          <t>E111</t>
        </is>
      </c>
      <c r="C23" s="8" t="inlineStr">
        <is>
          <t>Employee_111</t>
        </is>
      </c>
      <c r="D23" s="31" t="inlineStr">
        <is>
          <t>Sales</t>
        </is>
      </c>
      <c r="E23" s="10" t="n">
        <v>12234287</v>
      </c>
      <c r="F23" s="10" t="n">
        <v>2307001</v>
      </c>
      <c r="G23" s="10" t="n">
        <v>1309288</v>
      </c>
      <c r="H23" s="10">
        <f>E23+F23-G23</f>
        <v/>
      </c>
      <c r="I23" s="31" t="inlineStr">
        <is>
          <t>2026-03</t>
        </is>
      </c>
      <c r="J23" s="8" t="inlineStr">
        <is>
          <t>Mức phạt vượt trần cảnh báo</t>
        </is>
      </c>
    </row>
    <row r="24" ht="20" customHeight="1">
      <c r="A24" s="29" t="n">
        <v>23</v>
      </c>
      <c r="B24" s="29" t="inlineStr">
        <is>
          <t>E114</t>
        </is>
      </c>
      <c r="C24" s="11" t="inlineStr">
        <is>
          <t>Employee_114</t>
        </is>
      </c>
      <c r="D24" s="29" t="inlineStr">
        <is>
          <t>Operations</t>
        </is>
      </c>
      <c r="E24" s="13" t="n">
        <v>23151668</v>
      </c>
      <c r="F24" s="13" t="n">
        <v>1916743</v>
      </c>
      <c r="G24" s="13" t="n">
        <v>867829</v>
      </c>
      <c r="H24" s="13">
        <f>E24+F24-G24</f>
        <v/>
      </c>
      <c r="I24" s="29" t="inlineStr">
        <is>
          <t>2026-03</t>
        </is>
      </c>
      <c r="J24" s="11" t="inlineStr">
        <is>
          <t>Hợp lệ</t>
        </is>
      </c>
    </row>
    <row r="25" ht="20" customHeight="1">
      <c r="A25" s="31" t="n">
        <v>24</v>
      </c>
      <c r="B25" s="31" t="inlineStr">
        <is>
          <t>E127</t>
        </is>
      </c>
      <c r="C25" s="8" t="inlineStr">
        <is>
          <t>Employee_127</t>
        </is>
      </c>
      <c r="D25" s="31" t="inlineStr">
        <is>
          <t>Operations</t>
        </is>
      </c>
      <c r="E25" s="10" t="n">
        <v>10334899</v>
      </c>
      <c r="F25" s="10" t="n">
        <v>1190130</v>
      </c>
      <c r="G25" s="32" t="n">
        <v>1553924</v>
      </c>
      <c r="H25" s="10">
        <f>E25+F25-G25</f>
        <v/>
      </c>
      <c r="I25" s="31" t="inlineStr">
        <is>
          <t>2026-03</t>
        </is>
      </c>
      <c r="J25" s="8" t="inlineStr">
        <is>
          <t>Mức phạt vượt trần cảnh báo</t>
        </is>
      </c>
    </row>
    <row r="26" ht="20" customHeight="1">
      <c r="A26" s="29" t="n">
        <v>25</v>
      </c>
      <c r="B26" s="29" t="inlineStr">
        <is>
          <t>E137</t>
        </is>
      </c>
      <c r="C26" s="11" t="inlineStr">
        <is>
          <t>Employee_137</t>
        </is>
      </c>
      <c r="D26" s="29" t="inlineStr">
        <is>
          <t>HR</t>
        </is>
      </c>
      <c r="E26" s="13" t="n">
        <v>16573811</v>
      </c>
      <c r="F26" s="13" t="n">
        <v>2428058</v>
      </c>
      <c r="G26" s="13" t="n">
        <v>688122</v>
      </c>
      <c r="H26" s="13">
        <f>E26+F26-G26</f>
        <v/>
      </c>
      <c r="I26" s="29" t="inlineStr">
        <is>
          <t>2026-03</t>
        </is>
      </c>
      <c r="J26" s="11" t="inlineStr">
        <is>
          <t>Hợp lệ</t>
        </is>
      </c>
    </row>
    <row r="27" ht="20" customHeight="1">
      <c r="A27" s="31" t="n">
        <v>26</v>
      </c>
      <c r="B27" s="31" t="inlineStr">
        <is>
          <t>E139</t>
        </is>
      </c>
      <c r="C27" s="8" t="inlineStr">
        <is>
          <t>Employee_139</t>
        </is>
      </c>
      <c r="D27" s="31" t="inlineStr">
        <is>
          <t>Operations</t>
        </is>
      </c>
      <c r="E27" s="10" t="n">
        <v>25870498</v>
      </c>
      <c r="F27" s="10" t="n">
        <v>1930308</v>
      </c>
      <c r="G27" s="10" t="n">
        <v>1049126</v>
      </c>
      <c r="H27" s="10">
        <f>E27+F27-G27</f>
        <v/>
      </c>
      <c r="I27" s="31" t="inlineStr">
        <is>
          <t>2026-03</t>
        </is>
      </c>
      <c r="J27" s="8" t="inlineStr">
        <is>
          <t>Hợp lệ</t>
        </is>
      </c>
    </row>
    <row r="28" ht="20" customHeight="1">
      <c r="A28" s="29" t="n">
        <v>27</v>
      </c>
      <c r="B28" s="29" t="inlineStr">
        <is>
          <t>E149</t>
        </is>
      </c>
      <c r="C28" s="11" t="inlineStr">
        <is>
          <t>Employee_149</t>
        </is>
      </c>
      <c r="D28" s="29" t="inlineStr">
        <is>
          <t>HR</t>
        </is>
      </c>
      <c r="E28" s="13" t="n">
        <v>11449547</v>
      </c>
      <c r="F28" s="13" t="n">
        <v>1228463</v>
      </c>
      <c r="G28" s="13" t="n">
        <v>536804</v>
      </c>
      <c r="H28" s="13">
        <f>E28+F28-G28</f>
        <v/>
      </c>
      <c r="I28" s="29" t="inlineStr">
        <is>
          <t>2026-03</t>
        </is>
      </c>
      <c r="J28" s="11" t="inlineStr">
        <is>
          <t>Hợp lệ</t>
        </is>
      </c>
    </row>
    <row r="29" ht="20" customHeight="1">
      <c r="A29" s="31" t="n">
        <v>28</v>
      </c>
      <c r="B29" s="31" t="inlineStr">
        <is>
          <t>E150</t>
        </is>
      </c>
      <c r="C29" s="8" t="inlineStr">
        <is>
          <t>Employee_150</t>
        </is>
      </c>
      <c r="D29" s="31" t="inlineStr">
        <is>
          <t>HR</t>
        </is>
      </c>
      <c r="E29" s="10" t="n">
        <v>28213155</v>
      </c>
      <c r="F29" s="10" t="n">
        <v>1282364</v>
      </c>
      <c r="G29" s="32" t="n">
        <v>1594287</v>
      </c>
      <c r="H29" s="10">
        <f>E29+F29-G29</f>
        <v/>
      </c>
      <c r="I29" s="31" t="inlineStr">
        <is>
          <t>2026-03</t>
        </is>
      </c>
      <c r="J29" s="8" t="inlineStr">
        <is>
          <t>Mức phạt vượt trần cảnh báo</t>
        </is>
      </c>
    </row>
    <row r="30" ht="20" customHeight="1">
      <c r="A30" s="29" t="n">
        <v>29</v>
      </c>
      <c r="B30" s="29" t="inlineStr">
        <is>
          <t>E161</t>
        </is>
      </c>
      <c r="C30" s="11" t="inlineStr">
        <is>
          <t>Employee_161</t>
        </is>
      </c>
      <c r="D30" s="29" t="inlineStr">
        <is>
          <t>Operations</t>
        </is>
      </c>
      <c r="E30" s="13" t="n">
        <v>22744548</v>
      </c>
      <c r="F30" s="30" t="n">
        <v>4396205</v>
      </c>
      <c r="G30" s="13" t="n">
        <v>1096282</v>
      </c>
      <c r="H30" s="13">
        <f>E30+F30-G30</f>
        <v/>
      </c>
      <c r="I30" s="29" t="inlineStr">
        <is>
          <t>2026-03</t>
        </is>
      </c>
      <c r="J30" s="11" t="inlineStr">
        <is>
          <t>Mức thưởng xuất sắc vượt trội</t>
        </is>
      </c>
    </row>
    <row r="31" ht="20" customHeight="1">
      <c r="A31" s="31" t="n">
        <v>30</v>
      </c>
      <c r="B31" s="31" t="inlineStr">
        <is>
          <t>E162</t>
        </is>
      </c>
      <c r="C31" s="8" t="inlineStr">
        <is>
          <t>Employee_162</t>
        </is>
      </c>
      <c r="D31" s="31" t="inlineStr">
        <is>
          <t>Finance</t>
        </is>
      </c>
      <c r="E31" s="10" t="n">
        <v>20510836</v>
      </c>
      <c r="F31" s="10" t="n">
        <v>2373083</v>
      </c>
      <c r="G31" s="10" t="n">
        <v>812471</v>
      </c>
      <c r="H31" s="10">
        <f>E31+F31-G31</f>
        <v/>
      </c>
      <c r="I31" s="31" t="inlineStr">
        <is>
          <t>2026-03</t>
        </is>
      </c>
      <c r="J31" s="8" t="inlineStr">
        <is>
          <t>Hợp lệ</t>
        </is>
      </c>
    </row>
    <row r="32" ht="20" customHeight="1">
      <c r="A32" s="29" t="n">
        <v>31</v>
      </c>
      <c r="B32" s="29" t="inlineStr">
        <is>
          <t>E170</t>
        </is>
      </c>
      <c r="C32" s="11" t="inlineStr">
        <is>
          <t>Employee_170</t>
        </is>
      </c>
      <c r="D32" s="29" t="inlineStr">
        <is>
          <t>HR</t>
        </is>
      </c>
      <c r="E32" s="13" t="n">
        <v>19466634</v>
      </c>
      <c r="F32" s="30" t="n">
        <v>4079136</v>
      </c>
      <c r="G32" s="13" t="n">
        <v>402664</v>
      </c>
      <c r="H32" s="13">
        <f>E32+F32-G32</f>
        <v/>
      </c>
      <c r="I32" s="29" t="inlineStr">
        <is>
          <t>2026-03</t>
        </is>
      </c>
      <c r="J32" s="11" t="inlineStr">
        <is>
          <t>Mức thưởng xuất sắc vượt trội</t>
        </is>
      </c>
    </row>
    <row r="33" ht="20" customHeight="1">
      <c r="A33" s="31" t="n">
        <v>32</v>
      </c>
      <c r="B33" s="31" t="inlineStr">
        <is>
          <t>E171</t>
        </is>
      </c>
      <c r="C33" s="8" t="inlineStr">
        <is>
          <t>Employee_171</t>
        </is>
      </c>
      <c r="D33" s="31" t="inlineStr">
        <is>
          <t>HR</t>
        </is>
      </c>
      <c r="E33" s="10" t="n">
        <v>13199097</v>
      </c>
      <c r="F33" s="10" t="n">
        <v>647307</v>
      </c>
      <c r="G33" s="10" t="n">
        <v>620320</v>
      </c>
      <c r="H33" s="10">
        <f>E33+F33-G33</f>
        <v/>
      </c>
      <c r="I33" s="31" t="inlineStr">
        <is>
          <t>2026-03</t>
        </is>
      </c>
      <c r="J33" s="8" t="inlineStr">
        <is>
          <t>Hợp lệ</t>
        </is>
      </c>
    </row>
    <row r="34" ht="20" customHeight="1">
      <c r="A34" s="29" t="n">
        <v>33</v>
      </c>
      <c r="B34" s="29" t="inlineStr">
        <is>
          <t>E174</t>
        </is>
      </c>
      <c r="C34" s="11" t="inlineStr">
        <is>
          <t>Employee_174</t>
        </is>
      </c>
      <c r="D34" s="29" t="inlineStr">
        <is>
          <t>Operations</t>
        </is>
      </c>
      <c r="E34" s="13" t="n">
        <v>9466074</v>
      </c>
      <c r="F34" s="13" t="n">
        <v>3446531</v>
      </c>
      <c r="G34" s="13" t="n">
        <v>763991</v>
      </c>
      <c r="H34" s="13">
        <f>E34+F34-G34</f>
        <v/>
      </c>
      <c r="I34" s="29" t="inlineStr">
        <is>
          <t>2026-03</t>
        </is>
      </c>
      <c r="J34" s="11" t="inlineStr">
        <is>
          <t>Hợp lệ</t>
        </is>
      </c>
    </row>
    <row r="35" ht="20" customHeight="1">
      <c r="A35" s="31" t="n">
        <v>34</v>
      </c>
      <c r="B35" s="31" t="inlineStr">
        <is>
          <t>E175</t>
        </is>
      </c>
      <c r="C35" s="8" t="inlineStr">
        <is>
          <t>Employee_175</t>
        </is>
      </c>
      <c r="D35" s="31" t="inlineStr">
        <is>
          <t>Operations</t>
        </is>
      </c>
      <c r="E35" s="10" t="n">
        <v>28488182</v>
      </c>
      <c r="F35" s="10" t="n">
        <v>2390148</v>
      </c>
      <c r="G35" s="32" t="n">
        <v>1577878</v>
      </c>
      <c r="H35" s="10">
        <f>E35+F35-G35</f>
        <v/>
      </c>
      <c r="I35" s="31" t="inlineStr">
        <is>
          <t>2026-03</t>
        </is>
      </c>
      <c r="J35" s="8" t="inlineStr">
        <is>
          <t>Mức phạt vượt trần cảnh báo</t>
        </is>
      </c>
    </row>
    <row r="36" ht="20" customHeight="1">
      <c r="A36" s="29" t="n">
        <v>35</v>
      </c>
      <c r="B36" s="29" t="inlineStr">
        <is>
          <t>E183</t>
        </is>
      </c>
      <c r="C36" s="11" t="inlineStr">
        <is>
          <t>Employee_183</t>
        </is>
      </c>
      <c r="D36" s="29" t="inlineStr">
        <is>
          <t>Operations</t>
        </is>
      </c>
      <c r="E36" s="13" t="n">
        <v>11077396</v>
      </c>
      <c r="F36" s="13" t="n">
        <v>1862589</v>
      </c>
      <c r="G36" s="32" t="n">
        <v>1712750</v>
      </c>
      <c r="H36" s="13">
        <f>E36+F36-G36</f>
        <v/>
      </c>
      <c r="I36" s="29" t="inlineStr">
        <is>
          <t>2026-03</t>
        </is>
      </c>
      <c r="J36" s="11" t="inlineStr">
        <is>
          <t>Mức phạt vượt trần cảnh báo</t>
        </is>
      </c>
    </row>
    <row r="37" ht="20" customHeight="1">
      <c r="A37" s="31" t="n">
        <v>36</v>
      </c>
      <c r="B37" s="31" t="inlineStr">
        <is>
          <t>E190</t>
        </is>
      </c>
      <c r="C37" s="8" t="inlineStr">
        <is>
          <t>Employee_190</t>
        </is>
      </c>
      <c r="D37" s="31" t="inlineStr">
        <is>
          <t>Operations</t>
        </is>
      </c>
      <c r="E37" s="10" t="n">
        <v>11730811</v>
      </c>
      <c r="F37" s="10" t="n">
        <v>2416771</v>
      </c>
      <c r="G37" s="10" t="n">
        <v>498367</v>
      </c>
      <c r="H37" s="10">
        <f>E37+F37-G37</f>
        <v/>
      </c>
      <c r="I37" s="31" t="inlineStr">
        <is>
          <t>2026-03</t>
        </is>
      </c>
      <c r="J37" s="8" t="inlineStr">
        <is>
          <t>Hợp lệ</t>
        </is>
      </c>
    </row>
    <row r="38" ht="20" customHeight="1">
      <c r="A38" s="29" t="n">
        <v>37</v>
      </c>
      <c r="B38" s="29" t="inlineStr">
        <is>
          <t>E195</t>
        </is>
      </c>
      <c r="C38" s="11" t="inlineStr">
        <is>
          <t>Employee_195</t>
        </is>
      </c>
      <c r="D38" s="29" t="inlineStr">
        <is>
          <t>Sales</t>
        </is>
      </c>
      <c r="E38" s="13" t="n">
        <v>25565226</v>
      </c>
      <c r="F38" s="13" t="n">
        <v>3024963</v>
      </c>
      <c r="G38" s="13" t="n">
        <v>141933</v>
      </c>
      <c r="H38" s="13">
        <f>E38+F38-G38</f>
        <v/>
      </c>
      <c r="I38" s="29" t="inlineStr">
        <is>
          <t>2026-03</t>
        </is>
      </c>
      <c r="J38" s="11" t="inlineStr">
        <is>
          <t>Hợp lệ</t>
        </is>
      </c>
    </row>
    <row r="39" ht="24" customHeight="1">
      <c r="A39" s="33" t="inlineStr"/>
      <c r="B39" s="34" t="inlineStr">
        <is>
          <t>TỔNG CỘNG</t>
        </is>
      </c>
      <c r="C39" s="34" t="inlineStr">
        <is>
          <t>37 NV</t>
        </is>
      </c>
      <c r="D39" s="33" t="inlineStr"/>
      <c r="E39" s="35">
        <f>SUM(E2:E38)</f>
        <v/>
      </c>
      <c r="F39" s="35">
        <f>SUM(F2:F38)</f>
        <v/>
      </c>
      <c r="G39" s="35">
        <f>SUM(G2:G38)</f>
        <v/>
      </c>
      <c r="H39" s="35">
        <f>SUM(H2:H38)</f>
        <v/>
      </c>
      <c r="I39" s="33" t="inlineStr"/>
      <c r="J39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2026-09-09T14:51:19Z</dcterms:created>
  <dcterms:modified xsi:type="dcterms:W3CDTF">2026-09-09T14:51:19Z</dcterms:modified>
</cp:coreProperties>
</file>