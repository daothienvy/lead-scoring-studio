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 &amp; KPI" sheetId="1" state="visible" r:id="rId1"/>
    <sheet name="Chi Tiết Nhân S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₫&quot;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color rgb="00475569"/>
      <sz val="8"/>
    </font>
    <font>
      <name val="Segoe UI"/>
      <b val="1"/>
      <color rgb="001B365D"/>
      <sz val="12"/>
    </font>
    <font>
      <name val="Segoe UI"/>
      <b val="1"/>
      <color rgb="001B365D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color rgb="001B365D"/>
      <sz val="9"/>
    </font>
    <font>
      <name val="Segoe UI"/>
      <b val="1"/>
      <color rgb="00991B1B"/>
      <sz val="11"/>
    </font>
    <font>
      <name val="Segoe UI"/>
      <color rgb="000F172A"/>
      <sz val="9"/>
    </font>
    <font>
      <name val="Segoe UI"/>
      <color rgb="00991B1B"/>
      <sz val="9"/>
    </font>
    <font>
      <name val="Segoe UI"/>
      <color rgb="00166534"/>
      <sz val="9"/>
    </font>
    <font>
      <name val="Segoe UI"/>
      <b val="1"/>
      <color rgb="00FFFFFF"/>
      <sz val="10"/>
    </font>
    <font>
      <name val="Segoe UI"/>
      <b val="1"/>
      <color rgb="00991B1B"/>
      <sz val="9"/>
    </font>
    <font>
      <name val="Segoe UI"/>
      <b val="1"/>
      <color rgb="00166534"/>
      <sz val="9"/>
    </font>
    <font>
      <name val="Segoe UI"/>
      <b val="1"/>
      <color rgb="001B365D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6CB0"/>
        <bgColor rgb="002B6CB0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</border>
    <border>
      <left style="thin">
        <color rgb="00CBD5E1"/>
      </left>
      <right style="thin">
        <color rgb="00CBD5E1"/>
      </right>
      <bottom style="thin">
        <color rgb="00CBD5E1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B365D"/>
      </left>
      <right style="medium">
        <color rgb="001B365D"/>
      </right>
      <top style="medium">
        <color rgb="001B365D"/>
      </top>
      <bottom style="medium">
        <color rgb="001B365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3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left" vertical="center"/>
    </xf>
    <xf numFmtId="3" fontId="7" fillId="5" borderId="4" applyAlignment="1" pivotButton="0" quotePrefix="0" xfId="0">
      <alignment horizontal="right" vertical="center"/>
    </xf>
    <xf numFmtId="164" fontId="7" fillId="5" borderId="4" applyAlignment="1" pivotButton="0" quotePrefix="0" xfId="0">
      <alignment horizontal="right" vertical="center"/>
    </xf>
    <xf numFmtId="0" fontId="7" fillId="4" borderId="4" applyAlignment="1" pivotButton="0" quotePrefix="0" xfId="0">
      <alignment horizontal="left" vertical="center"/>
    </xf>
    <xf numFmtId="3" fontId="7" fillId="4" borderId="4" applyAlignment="1" pivotButton="0" quotePrefix="0" xfId="0">
      <alignment horizontal="right" vertical="center"/>
    </xf>
    <xf numFmtId="164" fontId="7" fillId="4" borderId="4" applyAlignment="1" pivotButton="0" quotePrefix="0" xfId="0">
      <alignment horizontal="right" vertical="center"/>
    </xf>
    <xf numFmtId="0" fontId="8" fillId="6" borderId="5" applyAlignment="1" pivotButton="0" quotePrefix="0" xfId="0">
      <alignment horizontal="left" vertical="center"/>
    </xf>
    <xf numFmtId="3" fontId="8" fillId="6" borderId="5" applyAlignment="1" pivotButton="0" quotePrefix="0" xfId="0">
      <alignment horizontal="right" vertical="center"/>
    </xf>
    <xf numFmtId="164" fontId="8" fillId="6" borderId="5" applyAlignment="1" pivotButton="0" quotePrefix="0" xfId="0">
      <alignment horizontal="right" vertical="center"/>
    </xf>
    <xf numFmtId="0" fontId="9" fillId="0" borderId="0" pivotButton="0" quotePrefix="0" xfId="0"/>
    <xf numFmtId="0" fontId="6" fillId="3" borderId="3" applyAlignment="1" pivotButton="0" quotePrefix="0" xfId="0">
      <alignment horizontal="center" vertical="center"/>
    </xf>
    <xf numFmtId="0" fontId="1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/>
    </xf>
    <xf numFmtId="164" fontId="10" fillId="4" borderId="4" applyAlignment="1" pivotButton="0" quotePrefix="0" xfId="0">
      <alignment horizontal="right" vertical="center"/>
    </xf>
    <xf numFmtId="0" fontId="11" fillId="7" borderId="4" applyAlignment="1" pivotButton="0" quotePrefix="0" xfId="0">
      <alignment horizontal="center" vertical="center"/>
    </xf>
    <xf numFmtId="0" fontId="11" fillId="7" borderId="4" applyAlignment="1" pivotButton="0" quotePrefix="0" xfId="0">
      <alignment horizontal="left" vertical="center"/>
    </xf>
    <xf numFmtId="164" fontId="11" fillId="7" borderId="4" applyAlignment="1" pivotButton="0" quotePrefix="0" xfId="0">
      <alignment horizontal="right" vertical="center"/>
    </xf>
    <xf numFmtId="0" fontId="12" fillId="8" borderId="4" applyAlignment="1" pivotButton="0" quotePrefix="0" xfId="0">
      <alignment horizontal="center" vertical="center"/>
    </xf>
    <xf numFmtId="0" fontId="12" fillId="8" borderId="4" applyAlignment="1" pivotButton="0" quotePrefix="0" xfId="0">
      <alignment horizontal="left" vertical="center"/>
    </xf>
    <xf numFmtId="164" fontId="12" fillId="8" borderId="4" applyAlignment="1" pivotButton="0" quotePrefix="0" xfId="0">
      <alignment horizontal="right" vertical="center"/>
    </xf>
    <xf numFmtId="0" fontId="13" fillId="2" borderId="3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164" fontId="14" fillId="7" borderId="4" applyAlignment="1" pivotButton="0" quotePrefix="0" xfId="0">
      <alignment horizontal="right" vertical="center"/>
    </xf>
    <xf numFmtId="164" fontId="15" fillId="8" borderId="4" applyAlignment="1" pivotButton="0" quotePrefix="0" xfId="0">
      <alignment horizontal="right" vertical="center"/>
    </xf>
    <xf numFmtId="0" fontId="16" fillId="6" borderId="5" pivotButton="0" quotePrefix="0" xfId="0"/>
    <xf numFmtId="0" fontId="16" fillId="6" borderId="5" applyAlignment="1" pivotButton="0" quotePrefix="0" xfId="0">
      <alignment horizontal="center" vertical="center"/>
    </xf>
    <xf numFmtId="164" fontId="16" fillId="6" borderId="5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  <col width="40" customWidth="1" min="4" max="4"/>
    <col width="40" customWidth="1" min="5" max="5"/>
    <col width="23" customWidth="1" min="6" max="6"/>
    <col width="36" customWidth="1" min="7" max="7"/>
  </cols>
  <sheetData>
    <row r="1" ht="36" customHeight="1">
      <c r="A1" s="1" t="inlineStr">
        <is>
          <t>BÁO CÁO VẬN HÀNH &amp; LƯƠNG THƯỞNG — MANAGER D</t>
        </is>
      </c>
    </row>
    <row r="2" ht="20" customHeight="1">
      <c r="A2" s="2" t="inlineStr">
        <is>
          <t>Kỳ báo cáo: Tháng 2026-03 | Ngày kết xuất: 09/09/2026 21:51 | Phụ trách: Manager_D</t>
        </is>
      </c>
    </row>
    <row r="3" ht="10" customHeight="1"/>
    <row r="4" ht="20" customHeight="1">
      <c r="A4" s="3" t="inlineStr">
        <is>
          <t>TỔNG NHÂN SỰ</t>
        </is>
      </c>
      <c r="B4" s="3" t="inlineStr">
        <is>
          <t>TỔNG LƯƠNG CƠ BẢN</t>
        </is>
      </c>
      <c r="C4" s="3" t="inlineStr">
        <is>
          <t>TỔNG THƯỞNG</t>
        </is>
      </c>
      <c r="D4" s="3" t="inlineStr">
        <is>
          <t>TỔNG PHẠT</t>
        </is>
      </c>
      <c r="E4" s="3" t="inlineStr">
        <is>
          <t>TỔNG LƯƠNG THỰC NHẬN</t>
        </is>
      </c>
    </row>
    <row r="5" ht="30" customHeight="1">
      <c r="A5" s="4" t="n">
        <v>50</v>
      </c>
      <c r="B5" s="5">
        <f>SUM('Chi Tiết Nhân Sự'!E2:E51)</f>
        <v/>
      </c>
      <c r="C5" s="5">
        <f>SUM('Chi Tiết Nhân Sự'!F2:F51)</f>
        <v/>
      </c>
      <c r="D5" s="5">
        <f>SUM('Chi Tiết Nhân Sự'!G2:G51)</f>
        <v/>
      </c>
      <c r="E5" s="5">
        <f>SUM('Chi Tiết Nhân Sự'!H2:H51)</f>
        <v/>
      </c>
    </row>
    <row r="6" ht="14" customHeight="1"/>
    <row r="7">
      <c r="A7" s="6" t="inlineStr">
        <is>
          <t>I. BẢNG PHÂN BỔ CHI TIẾT THEO PHÒNG BAN QUẢN LÝ</t>
        </is>
      </c>
    </row>
    <row r="8" ht="25" customHeight="1">
      <c r="A8" s="7" t="inlineStr">
        <is>
          <t>Phòng Ban</t>
        </is>
      </c>
      <c r="B8" s="7" t="inlineStr">
        <is>
          <t>Số Nhân Sự</t>
        </is>
      </c>
      <c r="C8" s="7" t="inlineStr">
        <is>
          <t>Tổng Lương Cơ Bản</t>
        </is>
      </c>
      <c r="D8" s="7" t="inlineStr">
        <is>
          <t>Tổng Thưởng</t>
        </is>
      </c>
      <c r="E8" s="7" t="inlineStr">
        <is>
          <t>Tổng Phạt</t>
        </is>
      </c>
      <c r="F8" s="7" t="inlineStr">
        <is>
          <t>Tổng Lương Thực Nhận</t>
        </is>
      </c>
      <c r="G8" s="7" t="inlineStr">
        <is>
          <t>Thực Nhận TB/Người</t>
        </is>
      </c>
    </row>
    <row r="9" ht="20" customHeight="1">
      <c r="A9" s="8" t="inlineStr">
        <is>
          <t>Finance</t>
        </is>
      </c>
      <c r="B9" s="9" t="n">
        <v>18</v>
      </c>
      <c r="C9" s="10" t="n">
        <v>305794661</v>
      </c>
      <c r="D9" s="10" t="n">
        <v>43077051</v>
      </c>
      <c r="E9" s="10" t="n">
        <v>13204758</v>
      </c>
      <c r="F9" s="10" t="n">
        <v>335666954</v>
      </c>
      <c r="G9" s="10" t="n">
        <v>18648164.11111111</v>
      </c>
    </row>
    <row r="10" ht="20" customHeight="1">
      <c r="A10" s="11" t="inlineStr">
        <is>
          <t>HR</t>
        </is>
      </c>
      <c r="B10" s="12" t="n">
        <v>12</v>
      </c>
      <c r="C10" s="13" t="n">
        <v>243057495</v>
      </c>
      <c r="D10" s="13" t="n">
        <v>29633655</v>
      </c>
      <c r="E10" s="13" t="n">
        <v>12524242</v>
      </c>
      <c r="F10" s="13" t="n">
        <v>260166908</v>
      </c>
      <c r="G10" s="13" t="n">
        <v>21680575.66666667</v>
      </c>
    </row>
    <row r="11" ht="20" customHeight="1">
      <c r="A11" s="8" t="inlineStr">
        <is>
          <t>Operations</t>
        </is>
      </c>
      <c r="B11" s="9" t="n">
        <v>10</v>
      </c>
      <c r="C11" s="10" t="n">
        <v>186875782</v>
      </c>
      <c r="D11" s="10" t="n">
        <v>18273530</v>
      </c>
      <c r="E11" s="10" t="n">
        <v>12719846</v>
      </c>
      <c r="F11" s="10" t="n">
        <v>192429466</v>
      </c>
      <c r="G11" s="10" t="n">
        <v>19242946.6</v>
      </c>
    </row>
    <row r="12" ht="20" customHeight="1">
      <c r="A12" s="11" t="inlineStr">
        <is>
          <t>Sales</t>
        </is>
      </c>
      <c r="B12" s="12" t="n">
        <v>10</v>
      </c>
      <c r="C12" s="13" t="n">
        <v>155314003</v>
      </c>
      <c r="D12" s="13" t="n">
        <v>32368063</v>
      </c>
      <c r="E12" s="13" t="n">
        <v>11007586</v>
      </c>
      <c r="F12" s="13" t="n">
        <v>176674480</v>
      </c>
      <c r="G12" s="13" t="n">
        <v>17667448</v>
      </c>
    </row>
    <row r="13" ht="22" customHeight="1">
      <c r="A13" s="14" t="inlineStr">
        <is>
          <t>TỔNG CỘNG</t>
        </is>
      </c>
      <c r="B13" s="15">
        <f>SUM(B9:B12)</f>
        <v/>
      </c>
      <c r="C13" s="16">
        <f>SUM(C9:C12)</f>
        <v/>
      </c>
      <c r="D13" s="16">
        <f>SUM(D9:D12)</f>
        <v/>
      </c>
      <c r="E13" s="16">
        <f>SUM(E9:E12)</f>
        <v/>
      </c>
      <c r="F13" s="16">
        <f>SUM(F9:F12)</f>
        <v/>
      </c>
      <c r="G13" s="16">
        <f>F13/B13</f>
        <v/>
      </c>
    </row>
    <row r="14"/>
    <row r="15">
      <c r="A15" s="17" t="inlineStr">
        <is>
          <t>II. DANH SÁCH NHÂN SỰ CẦN MANAGER KIỂM TRA &amp; RÀ SOÁT</t>
        </is>
      </c>
    </row>
    <row r="16" ht="24" customHeight="1">
      <c r="A16" s="18" t="inlineStr">
        <is>
          <t>Mã NV</t>
        </is>
      </c>
      <c r="B16" s="18" t="inlineStr">
        <is>
          <t>Họ &amp; Tên</t>
        </is>
      </c>
      <c r="C16" s="18" t="inlineStr">
        <is>
          <t>Phòng Ban</t>
        </is>
      </c>
      <c r="D16" s="18" t="inlineStr">
        <is>
          <t>Thưởng (VND)</t>
        </is>
      </c>
      <c r="E16" s="18" t="inlineStr">
        <is>
          <t>Phạt (VND)</t>
        </is>
      </c>
      <c r="F16" s="18" t="inlineStr">
        <is>
          <t>Lương Thực Nhận</t>
        </is>
      </c>
      <c r="G16" s="18" t="inlineStr">
        <is>
          <t>Nội Dung Lưu Ý &amp; Khuyến Nghị</t>
        </is>
      </c>
    </row>
    <row r="17" ht="20" customHeight="1">
      <c r="A17" s="19" t="inlineStr">
        <is>
          <t>E014</t>
        </is>
      </c>
      <c r="B17" s="20" t="inlineStr">
        <is>
          <t>Employee_14</t>
        </is>
      </c>
      <c r="C17" s="19" t="inlineStr">
        <is>
          <t>Sales</t>
        </is>
      </c>
      <c r="D17" s="21" t="n">
        <v>3361377</v>
      </c>
      <c r="E17" s="21" t="n">
        <v>1031267</v>
      </c>
      <c r="F17" s="21" t="n">
        <v>12522671</v>
      </c>
      <c r="G17" s="20" t="inlineStr">
        <is>
          <t>Mức phạt vượt trần cảnh báo</t>
        </is>
      </c>
    </row>
    <row r="18" ht="20" customHeight="1">
      <c r="A18" s="22" t="inlineStr">
        <is>
          <t>E029</t>
        </is>
      </c>
      <c r="B18" s="23" t="inlineStr">
        <is>
          <t>Employee_29</t>
        </is>
      </c>
      <c r="C18" s="22" t="inlineStr">
        <is>
          <t>Operations</t>
        </is>
      </c>
      <c r="D18" s="24" t="n">
        <v>334376</v>
      </c>
      <c r="E18" s="24" t="n">
        <v>1865254</v>
      </c>
      <c r="F18" s="24" t="n">
        <v>9168302</v>
      </c>
      <c r="G18" s="23" t="inlineStr">
        <is>
          <t>Mức phạt vượt trần cảnh báo</t>
        </is>
      </c>
    </row>
    <row r="19" ht="20" customHeight="1">
      <c r="A19" s="22" t="inlineStr">
        <is>
          <t>E037</t>
        </is>
      </c>
      <c r="B19" s="23" t="inlineStr">
        <is>
          <t>Employee_37</t>
        </is>
      </c>
      <c r="C19" s="22" t="inlineStr">
        <is>
          <t>Operations</t>
        </is>
      </c>
      <c r="D19" s="24" t="n">
        <v>3359236</v>
      </c>
      <c r="E19" s="24" t="n">
        <v>1706171</v>
      </c>
      <c r="F19" s="24" t="n">
        <v>19324049</v>
      </c>
      <c r="G19" s="23" t="inlineStr">
        <is>
          <t>Mức phạt vượt trần cảnh báo</t>
        </is>
      </c>
    </row>
    <row r="20" ht="20" customHeight="1">
      <c r="A20" s="22" t="inlineStr">
        <is>
          <t>E048</t>
        </is>
      </c>
      <c r="B20" s="23" t="inlineStr">
        <is>
          <t>Employee_48</t>
        </is>
      </c>
      <c r="C20" s="22" t="inlineStr">
        <is>
          <t>HR</t>
        </is>
      </c>
      <c r="D20" s="24" t="n">
        <v>1598955</v>
      </c>
      <c r="E20" s="24" t="n">
        <v>1933297</v>
      </c>
      <c r="F20" s="24" t="n">
        <v>20536668</v>
      </c>
      <c r="G20" s="23" t="inlineStr">
        <is>
          <t>Mức phạt vượt trần cảnh báo</t>
        </is>
      </c>
    </row>
    <row r="21" ht="20" customHeight="1">
      <c r="A21" s="25" t="inlineStr">
        <is>
          <t>E051</t>
        </is>
      </c>
      <c r="B21" s="26" t="inlineStr">
        <is>
          <t>Employee_51</t>
        </is>
      </c>
      <c r="C21" s="25" t="inlineStr">
        <is>
          <t>HR</t>
        </is>
      </c>
      <c r="D21" s="27" t="n">
        <v>4517941</v>
      </c>
      <c r="E21" s="27" t="n">
        <v>1015737</v>
      </c>
      <c r="F21" s="27" t="n">
        <v>26485848</v>
      </c>
      <c r="G21" s="26" t="inlineStr">
        <is>
          <t>Mức thưởng xuất sắc vượt trội</t>
        </is>
      </c>
    </row>
    <row r="22" ht="20" customHeight="1">
      <c r="A22" s="22" t="inlineStr">
        <is>
          <t>E058</t>
        </is>
      </c>
      <c r="B22" s="23" t="inlineStr">
        <is>
          <t>Employee_58</t>
        </is>
      </c>
      <c r="C22" s="22" t="inlineStr">
        <is>
          <t>Sales</t>
        </is>
      </c>
      <c r="D22" s="24" t="n">
        <v>3439149</v>
      </c>
      <c r="E22" s="24" t="n">
        <v>1826478</v>
      </c>
      <c r="F22" s="24" t="n">
        <v>14449724</v>
      </c>
      <c r="G22" s="23" t="inlineStr">
        <is>
          <t>Mức phạt vượt trần cảnh báo</t>
        </is>
      </c>
    </row>
    <row r="23" ht="20" customHeight="1">
      <c r="A23" s="25" t="inlineStr">
        <is>
          <t>E060</t>
        </is>
      </c>
      <c r="B23" s="26" t="inlineStr">
        <is>
          <t>Employee_60</t>
        </is>
      </c>
      <c r="C23" s="25" t="inlineStr">
        <is>
          <t>Sales</t>
        </is>
      </c>
      <c r="D23" s="27" t="n">
        <v>4476348</v>
      </c>
      <c r="E23" s="27" t="n">
        <v>796937</v>
      </c>
      <c r="F23" s="27" t="n">
        <v>22704242</v>
      </c>
      <c r="G23" s="26" t="inlineStr">
        <is>
          <t>Mức thưởng xuất sắc vượt trội</t>
        </is>
      </c>
    </row>
    <row r="24" ht="20" customHeight="1">
      <c r="A24" s="25" t="inlineStr">
        <is>
          <t>E068</t>
        </is>
      </c>
      <c r="B24" s="26" t="inlineStr">
        <is>
          <t>Employee_68</t>
        </is>
      </c>
      <c r="C24" s="25" t="inlineStr">
        <is>
          <t>HR</t>
        </is>
      </c>
      <c r="D24" s="27" t="n">
        <v>4891876</v>
      </c>
      <c r="E24" s="27" t="n">
        <v>300139</v>
      </c>
      <c r="F24" s="27" t="n">
        <v>29290678</v>
      </c>
      <c r="G24" s="26" t="inlineStr">
        <is>
          <t>Mức thưởng xuất sắc vượt trội</t>
        </is>
      </c>
    </row>
    <row r="25" ht="20" customHeight="1">
      <c r="A25" s="22" t="inlineStr">
        <is>
          <t>E081</t>
        </is>
      </c>
      <c r="B25" s="23" t="inlineStr">
        <is>
          <t>Employee_81</t>
        </is>
      </c>
      <c r="C25" s="22" t="inlineStr">
        <is>
          <t>HR</t>
        </is>
      </c>
      <c r="D25" s="24" t="n">
        <v>1108636</v>
      </c>
      <c r="E25" s="24" t="n">
        <v>1649436</v>
      </c>
      <c r="F25" s="24" t="n">
        <v>14196755</v>
      </c>
      <c r="G25" s="23" t="inlineStr">
        <is>
          <t>Mức phạt vượt trần cảnh báo</t>
        </is>
      </c>
    </row>
    <row r="26" ht="20" customHeight="1">
      <c r="A26" s="25" t="inlineStr">
        <is>
          <t>E092</t>
        </is>
      </c>
      <c r="B26" s="26" t="inlineStr">
        <is>
          <t>Employee_92</t>
        </is>
      </c>
      <c r="C26" s="25" t="inlineStr">
        <is>
          <t>Operations</t>
        </is>
      </c>
      <c r="D26" s="27" t="n">
        <v>4531463</v>
      </c>
      <c r="E26" s="27" t="n">
        <v>878972</v>
      </c>
      <c r="F26" s="27" t="n">
        <v>24101571</v>
      </c>
      <c r="G26" s="26" t="inlineStr">
        <is>
          <t>Mức thưởng xuất sắc vượt trội</t>
        </is>
      </c>
    </row>
    <row r="27" ht="20" customHeight="1">
      <c r="A27" s="19" t="inlineStr">
        <is>
          <t>E110</t>
        </is>
      </c>
      <c r="B27" s="20" t="inlineStr">
        <is>
          <t>Employee_110</t>
        </is>
      </c>
      <c r="C27" s="19" t="inlineStr">
        <is>
          <t>Sales</t>
        </is>
      </c>
      <c r="D27" s="21" t="n">
        <v>2702069</v>
      </c>
      <c r="E27" s="21" t="n">
        <v>1275692</v>
      </c>
      <c r="F27" s="21" t="n">
        <v>12137255</v>
      </c>
      <c r="G27" s="20" t="inlineStr">
        <is>
          <t>Mức phạt vượt trần cảnh báo</t>
        </is>
      </c>
    </row>
    <row r="28" ht="20" customHeight="1">
      <c r="A28" s="22" t="inlineStr">
        <is>
          <t>E113</t>
        </is>
      </c>
      <c r="B28" s="23" t="inlineStr">
        <is>
          <t>Employee_113</t>
        </is>
      </c>
      <c r="C28" s="22" t="inlineStr">
        <is>
          <t>Operations</t>
        </is>
      </c>
      <c r="D28" s="24" t="n">
        <v>959774</v>
      </c>
      <c r="E28" s="24" t="n">
        <v>1788435</v>
      </c>
      <c r="F28" s="24" t="n">
        <v>10499215</v>
      </c>
      <c r="G28" s="23" t="inlineStr">
        <is>
          <t>Mức phạt vượt trần cảnh báo</t>
        </is>
      </c>
    </row>
    <row r="29" ht="20" customHeight="1">
      <c r="A29" s="22" t="inlineStr">
        <is>
          <t>E133</t>
        </is>
      </c>
      <c r="B29" s="23" t="inlineStr">
        <is>
          <t>Employee_133</t>
        </is>
      </c>
      <c r="C29" s="22" t="inlineStr">
        <is>
          <t>Operations</t>
        </is>
      </c>
      <c r="D29" s="24" t="n">
        <v>1808323</v>
      </c>
      <c r="E29" s="24" t="n">
        <v>1583230</v>
      </c>
      <c r="F29" s="24" t="n">
        <v>17391051</v>
      </c>
      <c r="G29" s="23" t="inlineStr">
        <is>
          <t>Mức phạt vượt trần cảnh báo</t>
        </is>
      </c>
    </row>
    <row r="30" ht="20" customHeight="1">
      <c r="A30" s="22" t="inlineStr">
        <is>
          <t>E144</t>
        </is>
      </c>
      <c r="B30" s="23" t="inlineStr">
        <is>
          <t>Employee_144</t>
        </is>
      </c>
      <c r="C30" s="22" t="inlineStr">
        <is>
          <t>Finance</t>
        </is>
      </c>
      <c r="D30" s="24" t="n">
        <v>3663403</v>
      </c>
      <c r="E30" s="24" t="n">
        <v>1771012</v>
      </c>
      <c r="F30" s="24" t="n">
        <v>12849539</v>
      </c>
      <c r="G30" s="23" t="inlineStr">
        <is>
          <t>Mức phạt vượt trần cảnh báo</t>
        </is>
      </c>
    </row>
    <row r="31" ht="20" customHeight="1">
      <c r="A31" s="22" t="inlineStr">
        <is>
          <t>E163</t>
        </is>
      </c>
      <c r="B31" s="23" t="inlineStr">
        <is>
          <t>Employee_163</t>
        </is>
      </c>
      <c r="C31" s="22" t="inlineStr">
        <is>
          <t>Finance</t>
        </is>
      </c>
      <c r="D31" s="24" t="n">
        <v>439273</v>
      </c>
      <c r="E31" s="24" t="n">
        <v>1655128</v>
      </c>
      <c r="F31" s="24" t="n">
        <v>26845865</v>
      </c>
      <c r="G31" s="23" t="inlineStr">
        <is>
          <t>Mức phạt vượt trần cảnh báo</t>
        </is>
      </c>
    </row>
    <row r="32" ht="20" customHeight="1">
      <c r="A32" s="25" t="inlineStr">
        <is>
          <t>E168</t>
        </is>
      </c>
      <c r="B32" s="26" t="inlineStr">
        <is>
          <t>Employee_168</t>
        </is>
      </c>
      <c r="C32" s="25" t="inlineStr">
        <is>
          <t>Finance</t>
        </is>
      </c>
      <c r="D32" s="27" t="n">
        <v>4415707</v>
      </c>
      <c r="E32" s="27" t="n">
        <v>195985</v>
      </c>
      <c r="F32" s="27" t="n">
        <v>16507769</v>
      </c>
      <c r="G32" s="26" t="inlineStr">
        <is>
          <t>Mức thưởng xuất sắc vượt trội</t>
        </is>
      </c>
    </row>
    <row r="33" ht="20" customHeight="1">
      <c r="A33" s="22" t="inlineStr">
        <is>
          <t>E173</t>
        </is>
      </c>
      <c r="B33" s="23" t="inlineStr">
        <is>
          <t>Employee_173</t>
        </is>
      </c>
      <c r="C33" s="22" t="inlineStr">
        <is>
          <t>HR</t>
        </is>
      </c>
      <c r="D33" s="24" t="n">
        <v>1517045</v>
      </c>
      <c r="E33" s="24" t="n">
        <v>1743456</v>
      </c>
      <c r="F33" s="24" t="n">
        <v>13217702</v>
      </c>
      <c r="G33" s="23" t="inlineStr">
        <is>
          <t>Mức phạt vượt trần cảnh báo</t>
        </is>
      </c>
    </row>
    <row r="34" ht="20" customHeight="1">
      <c r="A34" s="25" t="inlineStr">
        <is>
          <t>E177</t>
        </is>
      </c>
      <c r="B34" s="26" t="inlineStr">
        <is>
          <t>Employee_177</t>
        </is>
      </c>
      <c r="C34" s="25" t="inlineStr">
        <is>
          <t>HR</t>
        </is>
      </c>
      <c r="D34" s="27" t="n">
        <v>4785024</v>
      </c>
      <c r="E34" s="27" t="n">
        <v>923999</v>
      </c>
      <c r="F34" s="27" t="n">
        <v>24203719</v>
      </c>
      <c r="G34" s="26" t="inlineStr">
        <is>
          <t>Mức thưởng xuất sắc vượt trội</t>
        </is>
      </c>
    </row>
    <row r="35" ht="20" customHeight="1">
      <c r="A35" s="25" t="inlineStr">
        <is>
          <t>E178</t>
        </is>
      </c>
      <c r="B35" s="26" t="inlineStr">
        <is>
          <t>Employee_178</t>
        </is>
      </c>
      <c r="C35" s="25" t="inlineStr">
        <is>
          <t>Finance</t>
        </is>
      </c>
      <c r="D35" s="27" t="n">
        <v>4218687</v>
      </c>
      <c r="E35" s="27" t="n">
        <v>1106163</v>
      </c>
      <c r="F35" s="27" t="n">
        <v>23926036</v>
      </c>
      <c r="G35" s="26" t="inlineStr">
        <is>
          <t>Mức thưởng xuất sắc vượt trội</t>
        </is>
      </c>
    </row>
    <row r="36" ht="20" customHeight="1">
      <c r="A36" s="22" t="inlineStr">
        <is>
          <t>E179</t>
        </is>
      </c>
      <c r="B36" s="23" t="inlineStr">
        <is>
          <t>Employee_179</t>
        </is>
      </c>
      <c r="C36" s="22" t="inlineStr">
        <is>
          <t>HR</t>
        </is>
      </c>
      <c r="D36" s="24" t="n">
        <v>1160971</v>
      </c>
      <c r="E36" s="24" t="n">
        <v>1830817</v>
      </c>
      <c r="F36" s="24" t="n">
        <v>14030897</v>
      </c>
      <c r="G36" s="23" t="inlineStr">
        <is>
          <t>Mức phạt vượt trần cảnh báo</t>
        </is>
      </c>
    </row>
    <row r="37" ht="20" customHeight="1">
      <c r="A37" s="25" t="inlineStr">
        <is>
          <t>E192</t>
        </is>
      </c>
      <c r="B37" s="26" t="inlineStr">
        <is>
          <t>Employee_192</t>
        </is>
      </c>
      <c r="C37" s="25" t="inlineStr">
        <is>
          <t>Sales</t>
        </is>
      </c>
      <c r="D37" s="27" t="n">
        <v>4192871</v>
      </c>
      <c r="E37" s="27" t="n">
        <v>1251452</v>
      </c>
      <c r="F37" s="27" t="n">
        <v>14661192</v>
      </c>
      <c r="G37" s="26" t="inlineStr">
        <is>
          <t>Thưởng và Phạt đều cao bất thường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5" customWidth="1" min="4" max="4"/>
    <col width="21" customWidth="1" min="5" max="5"/>
    <col width="21" customWidth="1" min="6" max="6"/>
    <col width="21" customWidth="1" min="7" max="7"/>
    <col width="21" customWidth="1" min="8" max="8"/>
    <col width="12" customWidth="1" min="9" max="9"/>
    <col width="36" customWidth="1" min="10" max="10"/>
  </cols>
  <sheetData>
    <row r="1" ht="28" customHeight="1">
      <c r="A1" s="28" t="inlineStr">
        <is>
          <t>STT</t>
        </is>
      </c>
      <c r="B1" s="28" t="inlineStr">
        <is>
          <t>Mã NV</t>
        </is>
      </c>
      <c r="C1" s="28" t="inlineStr">
        <is>
          <t>Họ Tên</t>
        </is>
      </c>
      <c r="D1" s="28" t="inlineStr">
        <is>
          <t>Phòng Ban</t>
        </is>
      </c>
      <c r="E1" s="28" t="inlineStr">
        <is>
          <t>Lương Cơ Bản</t>
        </is>
      </c>
      <c r="F1" s="28" t="inlineStr">
        <is>
          <t>Thưởng</t>
        </is>
      </c>
      <c r="G1" s="28" t="inlineStr">
        <is>
          <t>Phạt</t>
        </is>
      </c>
      <c r="H1" s="28" t="inlineStr">
        <is>
          <t>Lương Thực Nhận</t>
        </is>
      </c>
      <c r="I1" s="28" t="inlineStr">
        <is>
          <t>Kỳ</t>
        </is>
      </c>
      <c r="J1" s="28" t="inlineStr">
        <is>
          <t>Ghi Chú Kiểm Toán</t>
        </is>
      </c>
    </row>
    <row r="2" ht="20" customHeight="1">
      <c r="A2" s="29" t="n">
        <v>1</v>
      </c>
      <c r="B2" s="29" t="inlineStr">
        <is>
          <t>E005</t>
        </is>
      </c>
      <c r="C2" s="11" t="inlineStr">
        <is>
          <t>Employee_5</t>
        </is>
      </c>
      <c r="D2" s="29" t="inlineStr">
        <is>
          <t>Finance</t>
        </is>
      </c>
      <c r="E2" s="13" t="n">
        <v>18288560</v>
      </c>
      <c r="F2" s="13" t="n">
        <v>2108926</v>
      </c>
      <c r="G2" s="13" t="n">
        <v>483473</v>
      </c>
      <c r="H2" s="13">
        <f>E2+F2-G2</f>
        <v/>
      </c>
      <c r="I2" s="29" t="inlineStr">
        <is>
          <t>2026-03</t>
        </is>
      </c>
      <c r="J2" s="11" t="inlineStr">
        <is>
          <t>Hợp lệ</t>
        </is>
      </c>
    </row>
    <row r="3" ht="20" customHeight="1">
      <c r="A3" s="30" t="n">
        <v>2</v>
      </c>
      <c r="B3" s="30" t="inlineStr">
        <is>
          <t>E014</t>
        </is>
      </c>
      <c r="C3" s="8" t="inlineStr">
        <is>
          <t>Employee_14</t>
        </is>
      </c>
      <c r="D3" s="30" t="inlineStr">
        <is>
          <t>Sales</t>
        </is>
      </c>
      <c r="E3" s="10" t="n">
        <v>10192561</v>
      </c>
      <c r="F3" s="10" t="n">
        <v>3361377</v>
      </c>
      <c r="G3" s="10" t="n">
        <v>1031267</v>
      </c>
      <c r="H3" s="10">
        <f>E3+F3-G3</f>
        <v/>
      </c>
      <c r="I3" s="30" t="inlineStr">
        <is>
          <t>2026-03</t>
        </is>
      </c>
      <c r="J3" s="8" t="inlineStr">
        <is>
          <t>Mức phạt vượt trần cảnh báo</t>
        </is>
      </c>
    </row>
    <row r="4" ht="20" customHeight="1">
      <c r="A4" s="29" t="n">
        <v>3</v>
      </c>
      <c r="B4" s="29" t="inlineStr">
        <is>
          <t>E017</t>
        </is>
      </c>
      <c r="C4" s="11" t="inlineStr">
        <is>
          <t>Employee_17</t>
        </is>
      </c>
      <c r="D4" s="29" t="inlineStr">
        <is>
          <t>HR</t>
        </is>
      </c>
      <c r="E4" s="13" t="n">
        <v>25534624</v>
      </c>
      <c r="F4" s="13" t="n">
        <v>3190842</v>
      </c>
      <c r="G4" s="13" t="n">
        <v>944797</v>
      </c>
      <c r="H4" s="13">
        <f>E4+F4-G4</f>
        <v/>
      </c>
      <c r="I4" s="29" t="inlineStr">
        <is>
          <t>2026-03</t>
        </is>
      </c>
      <c r="J4" s="11" t="inlineStr">
        <is>
          <t>Hợp lệ</t>
        </is>
      </c>
    </row>
    <row r="5" ht="20" customHeight="1">
      <c r="A5" s="30" t="n">
        <v>4</v>
      </c>
      <c r="B5" s="30" t="inlineStr">
        <is>
          <t>E018</t>
        </is>
      </c>
      <c r="C5" s="8" t="inlineStr">
        <is>
          <t>Employee_18</t>
        </is>
      </c>
      <c r="D5" s="30" t="inlineStr">
        <is>
          <t>Finance</t>
        </is>
      </c>
      <c r="E5" s="10" t="n">
        <v>27747626</v>
      </c>
      <c r="F5" s="10" t="n">
        <v>3597285</v>
      </c>
      <c r="G5" s="10" t="n">
        <v>640428</v>
      </c>
      <c r="H5" s="10">
        <f>E5+F5-G5</f>
        <v/>
      </c>
      <c r="I5" s="30" t="inlineStr">
        <is>
          <t>2026-03</t>
        </is>
      </c>
      <c r="J5" s="8" t="inlineStr">
        <is>
          <t>Hợp lệ</t>
        </is>
      </c>
    </row>
    <row r="6" ht="20" customHeight="1">
      <c r="A6" s="29" t="n">
        <v>5</v>
      </c>
      <c r="B6" s="29" t="inlineStr">
        <is>
          <t>E022</t>
        </is>
      </c>
      <c r="C6" s="11" t="inlineStr">
        <is>
          <t>Employee_22</t>
        </is>
      </c>
      <c r="D6" s="29" t="inlineStr">
        <is>
          <t>Finance</t>
        </is>
      </c>
      <c r="E6" s="13" t="n">
        <v>9095211</v>
      </c>
      <c r="F6" s="13" t="n">
        <v>1941763</v>
      </c>
      <c r="G6" s="13" t="n">
        <v>604199</v>
      </c>
      <c r="H6" s="13">
        <f>E6+F6-G6</f>
        <v/>
      </c>
      <c r="I6" s="29" t="inlineStr">
        <is>
          <t>2026-03</t>
        </is>
      </c>
      <c r="J6" s="11" t="inlineStr">
        <is>
          <t>Hợp lệ</t>
        </is>
      </c>
    </row>
    <row r="7" ht="20" customHeight="1">
      <c r="A7" s="30" t="n">
        <v>6</v>
      </c>
      <c r="B7" s="30" t="inlineStr">
        <is>
          <t>E029</t>
        </is>
      </c>
      <c r="C7" s="8" t="inlineStr">
        <is>
          <t>Employee_29</t>
        </is>
      </c>
      <c r="D7" s="30" t="inlineStr">
        <is>
          <t>Operations</t>
        </is>
      </c>
      <c r="E7" s="10" t="n">
        <v>10699180</v>
      </c>
      <c r="F7" s="10" t="n">
        <v>334376</v>
      </c>
      <c r="G7" s="31" t="n">
        <v>1865254</v>
      </c>
      <c r="H7" s="10">
        <f>E7+F7-G7</f>
        <v/>
      </c>
      <c r="I7" s="30" t="inlineStr">
        <is>
          <t>2026-03</t>
        </is>
      </c>
      <c r="J7" s="8" t="inlineStr">
        <is>
          <t>Mức phạt vượt trần cảnh báo</t>
        </is>
      </c>
    </row>
    <row r="8" ht="20" customHeight="1">
      <c r="A8" s="29" t="n">
        <v>7</v>
      </c>
      <c r="B8" s="29" t="inlineStr">
        <is>
          <t>E030</t>
        </is>
      </c>
      <c r="C8" s="11" t="inlineStr">
        <is>
          <t>Employee_30</t>
        </is>
      </c>
      <c r="D8" s="29" t="inlineStr">
        <is>
          <t>Finance</t>
        </is>
      </c>
      <c r="E8" s="13" t="n">
        <v>28257268</v>
      </c>
      <c r="F8" s="13" t="n">
        <v>2100238</v>
      </c>
      <c r="G8" s="13" t="n">
        <v>54242</v>
      </c>
      <c r="H8" s="13">
        <f>E8+F8-G8</f>
        <v/>
      </c>
      <c r="I8" s="29" t="inlineStr">
        <is>
          <t>2026-03</t>
        </is>
      </c>
      <c r="J8" s="11" t="inlineStr">
        <is>
          <t>Hợp lệ</t>
        </is>
      </c>
    </row>
    <row r="9" ht="20" customHeight="1">
      <c r="A9" s="30" t="n">
        <v>8</v>
      </c>
      <c r="B9" s="30" t="inlineStr">
        <is>
          <t>E035</t>
        </is>
      </c>
      <c r="C9" s="8" t="inlineStr">
        <is>
          <t>Employee_35</t>
        </is>
      </c>
      <c r="D9" s="30" t="inlineStr">
        <is>
          <t>Sales</t>
        </is>
      </c>
      <c r="E9" s="10" t="n">
        <v>23770931</v>
      </c>
      <c r="F9" s="10" t="n">
        <v>2918908</v>
      </c>
      <c r="G9" s="10" t="n">
        <v>856368</v>
      </c>
      <c r="H9" s="10">
        <f>E9+F9-G9</f>
        <v/>
      </c>
      <c r="I9" s="30" t="inlineStr">
        <is>
          <t>2026-03</t>
        </is>
      </c>
      <c r="J9" s="8" t="inlineStr">
        <is>
          <t>Hợp lệ</t>
        </is>
      </c>
    </row>
    <row r="10" ht="20" customHeight="1">
      <c r="A10" s="29" t="n">
        <v>9</v>
      </c>
      <c r="B10" s="29" t="inlineStr">
        <is>
          <t>E037</t>
        </is>
      </c>
      <c r="C10" s="11" t="inlineStr">
        <is>
          <t>Employee_37</t>
        </is>
      </c>
      <c r="D10" s="29" t="inlineStr">
        <is>
          <t>Operations</t>
        </is>
      </c>
      <c r="E10" s="13" t="n">
        <v>17670984</v>
      </c>
      <c r="F10" s="13" t="n">
        <v>3359236</v>
      </c>
      <c r="G10" s="31" t="n">
        <v>1706171</v>
      </c>
      <c r="H10" s="13">
        <f>E10+F10-G10</f>
        <v/>
      </c>
      <c r="I10" s="29" t="inlineStr">
        <is>
          <t>2026-03</t>
        </is>
      </c>
      <c r="J10" s="11" t="inlineStr">
        <is>
          <t>Mức phạt vượt trần cảnh báo</t>
        </is>
      </c>
    </row>
    <row r="11" ht="20" customHeight="1">
      <c r="A11" s="30" t="n">
        <v>10</v>
      </c>
      <c r="B11" s="30" t="inlineStr">
        <is>
          <t>E045</t>
        </is>
      </c>
      <c r="C11" s="8" t="inlineStr">
        <is>
          <t>Employee_45</t>
        </is>
      </c>
      <c r="D11" s="30" t="inlineStr">
        <is>
          <t>Sales</t>
        </is>
      </c>
      <c r="E11" s="10" t="n">
        <v>15539702</v>
      </c>
      <c r="F11" s="10" t="n">
        <v>951780</v>
      </c>
      <c r="G11" s="10" t="n">
        <v>967726</v>
      </c>
      <c r="H11" s="10">
        <f>E11+F11-G11</f>
        <v/>
      </c>
      <c r="I11" s="30" t="inlineStr">
        <is>
          <t>2026-03</t>
        </is>
      </c>
      <c r="J11" s="8" t="inlineStr">
        <is>
          <t>Hợp lệ</t>
        </is>
      </c>
    </row>
    <row r="12" ht="20" customHeight="1">
      <c r="A12" s="29" t="n">
        <v>11</v>
      </c>
      <c r="B12" s="29" t="inlineStr">
        <is>
          <t>E048</t>
        </is>
      </c>
      <c r="C12" s="11" t="inlineStr">
        <is>
          <t>Employee_48</t>
        </is>
      </c>
      <c r="D12" s="29" t="inlineStr">
        <is>
          <t>HR</t>
        </is>
      </c>
      <c r="E12" s="13" t="n">
        <v>20871010</v>
      </c>
      <c r="F12" s="13" t="n">
        <v>1598955</v>
      </c>
      <c r="G12" s="31" t="n">
        <v>1933297</v>
      </c>
      <c r="H12" s="13">
        <f>E12+F12-G12</f>
        <v/>
      </c>
      <c r="I12" s="29" t="inlineStr">
        <is>
          <t>2026-03</t>
        </is>
      </c>
      <c r="J12" s="11" t="inlineStr">
        <is>
          <t>Mức phạt vượt trần cảnh báo</t>
        </is>
      </c>
    </row>
    <row r="13" ht="20" customHeight="1">
      <c r="A13" s="30" t="n">
        <v>12</v>
      </c>
      <c r="B13" s="30" t="inlineStr">
        <is>
          <t>E051</t>
        </is>
      </c>
      <c r="C13" s="8" t="inlineStr">
        <is>
          <t>Employee_51</t>
        </is>
      </c>
      <c r="D13" s="30" t="inlineStr">
        <is>
          <t>HR</t>
        </is>
      </c>
      <c r="E13" s="10" t="n">
        <v>22983644</v>
      </c>
      <c r="F13" s="32" t="n">
        <v>4517941</v>
      </c>
      <c r="G13" s="10" t="n">
        <v>1015737</v>
      </c>
      <c r="H13" s="10">
        <f>E13+F13-G13</f>
        <v/>
      </c>
      <c r="I13" s="30" t="inlineStr">
        <is>
          <t>2026-03</t>
        </is>
      </c>
      <c r="J13" s="8" t="inlineStr">
        <is>
          <t>Mức thưởng xuất sắc vượt trội</t>
        </is>
      </c>
    </row>
    <row r="14" ht="20" customHeight="1">
      <c r="A14" s="29" t="n">
        <v>13</v>
      </c>
      <c r="B14" s="29" t="inlineStr">
        <is>
          <t>E053</t>
        </is>
      </c>
      <c r="C14" s="11" t="inlineStr">
        <is>
          <t>Employee_53</t>
        </is>
      </c>
      <c r="D14" s="29" t="inlineStr">
        <is>
          <t>Finance</t>
        </is>
      </c>
      <c r="E14" s="13" t="n">
        <v>14330123</v>
      </c>
      <c r="F14" s="13" t="n">
        <v>2003246</v>
      </c>
      <c r="G14" s="13" t="n">
        <v>1199146</v>
      </c>
      <c r="H14" s="13">
        <f>E14+F14-G14</f>
        <v/>
      </c>
      <c r="I14" s="29" t="inlineStr">
        <is>
          <t>2026-03</t>
        </is>
      </c>
      <c r="J14" s="11" t="inlineStr">
        <is>
          <t>Hợp lệ</t>
        </is>
      </c>
    </row>
    <row r="15" ht="20" customHeight="1">
      <c r="A15" s="30" t="n">
        <v>14</v>
      </c>
      <c r="B15" s="30" t="inlineStr">
        <is>
          <t>E054</t>
        </is>
      </c>
      <c r="C15" s="8" t="inlineStr">
        <is>
          <t>Employee_54</t>
        </is>
      </c>
      <c r="D15" s="30" t="inlineStr">
        <is>
          <t>HR</t>
        </is>
      </c>
      <c r="E15" s="10" t="n">
        <v>21783325</v>
      </c>
      <c r="F15" s="10" t="n">
        <v>366140</v>
      </c>
      <c r="G15" s="10" t="n">
        <v>667264</v>
      </c>
      <c r="H15" s="10">
        <f>E15+F15-G15</f>
        <v/>
      </c>
      <c r="I15" s="30" t="inlineStr">
        <is>
          <t>2026-03</t>
        </is>
      </c>
      <c r="J15" s="8" t="inlineStr">
        <is>
          <t>Hợp lệ</t>
        </is>
      </c>
    </row>
    <row r="16" ht="20" customHeight="1">
      <c r="A16" s="29" t="n">
        <v>15</v>
      </c>
      <c r="B16" s="29" t="inlineStr">
        <is>
          <t>E055</t>
        </is>
      </c>
      <c r="C16" s="11" t="inlineStr">
        <is>
          <t>Employee_55</t>
        </is>
      </c>
      <c r="D16" s="29" t="inlineStr">
        <is>
          <t>Operations</t>
        </is>
      </c>
      <c r="E16" s="13" t="n">
        <v>20954653</v>
      </c>
      <c r="F16" s="13" t="n">
        <v>1275951</v>
      </c>
      <c r="G16" s="13" t="n">
        <v>1038779</v>
      </c>
      <c r="H16" s="13">
        <f>E16+F16-G16</f>
        <v/>
      </c>
      <c r="I16" s="29" t="inlineStr">
        <is>
          <t>2026-03</t>
        </is>
      </c>
      <c r="J16" s="11" t="inlineStr">
        <is>
          <t>Hợp lệ</t>
        </is>
      </c>
    </row>
    <row r="17" ht="20" customHeight="1">
      <c r="A17" s="30" t="n">
        <v>16</v>
      </c>
      <c r="B17" s="30" t="inlineStr">
        <is>
          <t>E058</t>
        </is>
      </c>
      <c r="C17" s="8" t="inlineStr">
        <is>
          <t>Employee_58</t>
        </is>
      </c>
      <c r="D17" s="30" t="inlineStr">
        <is>
          <t>Sales</t>
        </is>
      </c>
      <c r="E17" s="10" t="n">
        <v>12837053</v>
      </c>
      <c r="F17" s="10" t="n">
        <v>3439149</v>
      </c>
      <c r="G17" s="31" t="n">
        <v>1826478</v>
      </c>
      <c r="H17" s="10">
        <f>E17+F17-G17</f>
        <v/>
      </c>
      <c r="I17" s="30" t="inlineStr">
        <is>
          <t>2026-03</t>
        </is>
      </c>
      <c r="J17" s="8" t="inlineStr">
        <is>
          <t>Mức phạt vượt trần cảnh báo</t>
        </is>
      </c>
    </row>
    <row r="18" ht="20" customHeight="1">
      <c r="A18" s="29" t="n">
        <v>17</v>
      </c>
      <c r="B18" s="29" t="inlineStr">
        <is>
          <t>E060</t>
        </is>
      </c>
      <c r="C18" s="11" t="inlineStr">
        <is>
          <t>Employee_60</t>
        </is>
      </c>
      <c r="D18" s="29" t="inlineStr">
        <is>
          <t>Sales</t>
        </is>
      </c>
      <c r="E18" s="13" t="n">
        <v>19024831</v>
      </c>
      <c r="F18" s="32" t="n">
        <v>4476348</v>
      </c>
      <c r="G18" s="13" t="n">
        <v>796937</v>
      </c>
      <c r="H18" s="13">
        <f>E18+F18-G18</f>
        <v/>
      </c>
      <c r="I18" s="29" t="inlineStr">
        <is>
          <t>2026-03</t>
        </is>
      </c>
      <c r="J18" s="11" t="inlineStr">
        <is>
          <t>Mức thưởng xuất sắc vượt trội</t>
        </is>
      </c>
    </row>
    <row r="19" ht="20" customHeight="1">
      <c r="A19" s="30" t="n">
        <v>18</v>
      </c>
      <c r="B19" s="30" t="inlineStr">
        <is>
          <t>E068</t>
        </is>
      </c>
      <c r="C19" s="8" t="inlineStr">
        <is>
          <t>Employee_68</t>
        </is>
      </c>
      <c r="D19" s="30" t="inlineStr">
        <is>
          <t>HR</t>
        </is>
      </c>
      <c r="E19" s="10" t="n">
        <v>24698941</v>
      </c>
      <c r="F19" s="32" t="n">
        <v>4891876</v>
      </c>
      <c r="G19" s="10" t="n">
        <v>300139</v>
      </c>
      <c r="H19" s="10">
        <f>E19+F19-G19</f>
        <v/>
      </c>
      <c r="I19" s="30" t="inlineStr">
        <is>
          <t>2026-03</t>
        </is>
      </c>
      <c r="J19" s="8" t="inlineStr">
        <is>
          <t>Mức thưởng xuất sắc vượt trội</t>
        </is>
      </c>
    </row>
    <row r="20" ht="20" customHeight="1">
      <c r="A20" s="29" t="n">
        <v>19</v>
      </c>
      <c r="B20" s="29" t="inlineStr">
        <is>
          <t>E081</t>
        </is>
      </c>
      <c r="C20" s="11" t="inlineStr">
        <is>
          <t>Employee_81</t>
        </is>
      </c>
      <c r="D20" s="29" t="inlineStr">
        <is>
          <t>HR</t>
        </is>
      </c>
      <c r="E20" s="13" t="n">
        <v>14737555</v>
      </c>
      <c r="F20" s="13" t="n">
        <v>1108636</v>
      </c>
      <c r="G20" s="31" t="n">
        <v>1649436</v>
      </c>
      <c r="H20" s="13">
        <f>E20+F20-G20</f>
        <v/>
      </c>
      <c r="I20" s="29" t="inlineStr">
        <is>
          <t>2026-03</t>
        </is>
      </c>
      <c r="J20" s="11" t="inlineStr">
        <is>
          <t>Mức phạt vượt trần cảnh báo</t>
        </is>
      </c>
    </row>
    <row r="21" ht="20" customHeight="1">
      <c r="A21" s="30" t="n">
        <v>20</v>
      </c>
      <c r="B21" s="30" t="inlineStr">
        <is>
          <t>E083</t>
        </is>
      </c>
      <c r="C21" s="8" t="inlineStr">
        <is>
          <t>Employee_83</t>
        </is>
      </c>
      <c r="D21" s="30" t="inlineStr">
        <is>
          <t>Finance</t>
        </is>
      </c>
      <c r="E21" s="10" t="n">
        <v>19365397</v>
      </c>
      <c r="F21" s="10" t="n">
        <v>966113</v>
      </c>
      <c r="G21" s="10" t="n">
        <v>982162</v>
      </c>
      <c r="H21" s="10">
        <f>E21+F21-G21</f>
        <v/>
      </c>
      <c r="I21" s="30" t="inlineStr">
        <is>
          <t>2026-03</t>
        </is>
      </c>
      <c r="J21" s="8" t="inlineStr">
        <is>
          <t>Hợp lệ</t>
        </is>
      </c>
    </row>
    <row r="22" ht="20" customHeight="1">
      <c r="A22" s="29" t="n">
        <v>21</v>
      </c>
      <c r="B22" s="29" t="inlineStr">
        <is>
          <t>E087</t>
        </is>
      </c>
      <c r="C22" s="11" t="inlineStr">
        <is>
          <t>Employee_87</t>
        </is>
      </c>
      <c r="D22" s="29" t="inlineStr">
        <is>
          <t>Finance</t>
        </is>
      </c>
      <c r="E22" s="13" t="n">
        <v>11635491</v>
      </c>
      <c r="F22" s="13" t="n">
        <v>1961440</v>
      </c>
      <c r="G22" s="13" t="n">
        <v>988758</v>
      </c>
      <c r="H22" s="13">
        <f>E22+F22-G22</f>
        <v/>
      </c>
      <c r="I22" s="29" t="inlineStr">
        <is>
          <t>2026-03</t>
        </is>
      </c>
      <c r="J22" s="11" t="inlineStr">
        <is>
          <t>Hợp lệ</t>
        </is>
      </c>
    </row>
    <row r="23" ht="20" customHeight="1">
      <c r="A23" s="30" t="n">
        <v>22</v>
      </c>
      <c r="B23" s="30" t="inlineStr">
        <is>
          <t>E092</t>
        </is>
      </c>
      <c r="C23" s="8" t="inlineStr">
        <is>
          <t>Employee_92</t>
        </is>
      </c>
      <c r="D23" s="30" t="inlineStr">
        <is>
          <t>Operations</t>
        </is>
      </c>
      <c r="E23" s="10" t="n">
        <v>20449080</v>
      </c>
      <c r="F23" s="32" t="n">
        <v>4531463</v>
      </c>
      <c r="G23" s="10" t="n">
        <v>878972</v>
      </c>
      <c r="H23" s="10">
        <f>E23+F23-G23</f>
        <v/>
      </c>
      <c r="I23" s="30" t="inlineStr">
        <is>
          <t>2026-03</t>
        </is>
      </c>
      <c r="J23" s="8" t="inlineStr">
        <is>
          <t>Mức thưởng xuất sắc vượt trội</t>
        </is>
      </c>
    </row>
    <row r="24" ht="20" customHeight="1">
      <c r="A24" s="29" t="n">
        <v>23</v>
      </c>
      <c r="B24" s="29" t="inlineStr">
        <is>
          <t>E094</t>
        </is>
      </c>
      <c r="C24" s="11" t="inlineStr">
        <is>
          <t>Employee_94</t>
        </is>
      </c>
      <c r="D24" s="29" t="inlineStr">
        <is>
          <t>Operations</t>
        </is>
      </c>
      <c r="E24" s="13" t="n">
        <v>17386521</v>
      </c>
      <c r="F24" s="13" t="n">
        <v>274444</v>
      </c>
      <c r="G24" s="13" t="n">
        <v>1447623</v>
      </c>
      <c r="H24" s="13">
        <f>E24+F24-G24</f>
        <v/>
      </c>
      <c r="I24" s="29" t="inlineStr">
        <is>
          <t>2026-03</t>
        </is>
      </c>
      <c r="J24" s="11" t="inlineStr">
        <is>
          <t>Hợp lệ</t>
        </is>
      </c>
    </row>
    <row r="25" ht="20" customHeight="1">
      <c r="A25" s="30" t="n">
        <v>24</v>
      </c>
      <c r="B25" s="30" t="inlineStr">
        <is>
          <t>E106</t>
        </is>
      </c>
      <c r="C25" s="8" t="inlineStr">
        <is>
          <t>Employee_106</t>
        </is>
      </c>
      <c r="D25" s="30" t="inlineStr">
        <is>
          <t>Sales</t>
        </is>
      </c>
      <c r="E25" s="10" t="n">
        <v>10132653</v>
      </c>
      <c r="F25" s="10" t="n">
        <v>3995040</v>
      </c>
      <c r="G25" s="10" t="n">
        <v>940101</v>
      </c>
      <c r="H25" s="10">
        <f>E25+F25-G25</f>
        <v/>
      </c>
      <c r="I25" s="30" t="inlineStr">
        <is>
          <t>2026-03</t>
        </is>
      </c>
      <c r="J25" s="8" t="inlineStr">
        <is>
          <t>Hợp lệ</t>
        </is>
      </c>
    </row>
    <row r="26" ht="20" customHeight="1">
      <c r="A26" s="29" t="n">
        <v>25</v>
      </c>
      <c r="B26" s="29" t="inlineStr">
        <is>
          <t>E109</t>
        </is>
      </c>
      <c r="C26" s="11" t="inlineStr">
        <is>
          <t>Employee_109</t>
        </is>
      </c>
      <c r="D26" s="29" t="inlineStr">
        <is>
          <t>Operations</t>
        </is>
      </c>
      <c r="E26" s="13" t="n">
        <v>22303369</v>
      </c>
      <c r="F26" s="13" t="n">
        <v>905649</v>
      </c>
      <c r="G26" s="13" t="n">
        <v>1028168</v>
      </c>
      <c r="H26" s="13">
        <f>E26+F26-G26</f>
        <v/>
      </c>
      <c r="I26" s="29" t="inlineStr">
        <is>
          <t>2026-03</t>
        </is>
      </c>
      <c r="J26" s="11" t="inlineStr">
        <is>
          <t>Hợp lệ</t>
        </is>
      </c>
    </row>
    <row r="27" ht="20" customHeight="1">
      <c r="A27" s="30" t="n">
        <v>26</v>
      </c>
      <c r="B27" s="30" t="inlineStr">
        <is>
          <t>E110</t>
        </is>
      </c>
      <c r="C27" s="8" t="inlineStr">
        <is>
          <t>Employee_110</t>
        </is>
      </c>
      <c r="D27" s="30" t="inlineStr">
        <is>
          <t>Sales</t>
        </is>
      </c>
      <c r="E27" s="10" t="n">
        <v>10710878</v>
      </c>
      <c r="F27" s="10" t="n">
        <v>2702069</v>
      </c>
      <c r="G27" s="10" t="n">
        <v>1275692</v>
      </c>
      <c r="H27" s="10">
        <f>E27+F27-G27</f>
        <v/>
      </c>
      <c r="I27" s="30" t="inlineStr">
        <is>
          <t>2026-03</t>
        </is>
      </c>
      <c r="J27" s="8" t="inlineStr">
        <is>
          <t>Mức phạt vượt trần cảnh báo</t>
        </is>
      </c>
    </row>
    <row r="28" ht="20" customHeight="1">
      <c r="A28" s="29" t="n">
        <v>27</v>
      </c>
      <c r="B28" s="29" t="inlineStr">
        <is>
          <t>E113</t>
        </is>
      </c>
      <c r="C28" s="11" t="inlineStr">
        <is>
          <t>Employee_113</t>
        </is>
      </c>
      <c r="D28" s="29" t="inlineStr">
        <is>
          <t>Operations</t>
        </is>
      </c>
      <c r="E28" s="13" t="n">
        <v>11327876</v>
      </c>
      <c r="F28" s="13" t="n">
        <v>959774</v>
      </c>
      <c r="G28" s="31" t="n">
        <v>1788435</v>
      </c>
      <c r="H28" s="13">
        <f>E28+F28-G28</f>
        <v/>
      </c>
      <c r="I28" s="29" t="inlineStr">
        <is>
          <t>2026-03</t>
        </is>
      </c>
      <c r="J28" s="11" t="inlineStr">
        <is>
          <t>Mức phạt vượt trần cảnh báo</t>
        </is>
      </c>
    </row>
    <row r="29" ht="20" customHeight="1">
      <c r="A29" s="30" t="n">
        <v>28</v>
      </c>
      <c r="B29" s="30" t="inlineStr">
        <is>
          <t>E121</t>
        </is>
      </c>
      <c r="C29" s="8" t="inlineStr">
        <is>
          <t>Employee_121</t>
        </is>
      </c>
      <c r="D29" s="30" t="inlineStr">
        <is>
          <t>Sales</t>
        </is>
      </c>
      <c r="E29" s="10" t="n">
        <v>17651241</v>
      </c>
      <c r="F29" s="10" t="n">
        <v>2621011</v>
      </c>
      <c r="G29" s="10" t="n">
        <v>737455</v>
      </c>
      <c r="H29" s="10">
        <f>E29+F29-G29</f>
        <v/>
      </c>
      <c r="I29" s="30" t="inlineStr">
        <is>
          <t>2026-03</t>
        </is>
      </c>
      <c r="J29" s="8" t="inlineStr">
        <is>
          <t>Hợp lệ</t>
        </is>
      </c>
    </row>
    <row r="30" ht="20" customHeight="1">
      <c r="A30" s="29" t="n">
        <v>29</v>
      </c>
      <c r="B30" s="29" t="inlineStr">
        <is>
          <t>E129</t>
        </is>
      </c>
      <c r="C30" s="11" t="inlineStr">
        <is>
          <t>Employee_129</t>
        </is>
      </c>
      <c r="D30" s="29" t="inlineStr">
        <is>
          <t>Operations</t>
        </is>
      </c>
      <c r="E30" s="13" t="n">
        <v>19438571</v>
      </c>
      <c r="F30" s="13" t="n">
        <v>1320444</v>
      </c>
      <c r="G30" s="13" t="n">
        <v>776057</v>
      </c>
      <c r="H30" s="13">
        <f>E30+F30-G30</f>
        <v/>
      </c>
      <c r="I30" s="29" t="inlineStr">
        <is>
          <t>2026-03</t>
        </is>
      </c>
      <c r="J30" s="11" t="inlineStr">
        <is>
          <t>Hợp lệ</t>
        </is>
      </c>
    </row>
    <row r="31" ht="20" customHeight="1">
      <c r="A31" s="30" t="n">
        <v>30</v>
      </c>
      <c r="B31" s="30" t="inlineStr">
        <is>
          <t>E133</t>
        </is>
      </c>
      <c r="C31" s="8" t="inlineStr">
        <is>
          <t>Employee_133</t>
        </is>
      </c>
      <c r="D31" s="30" t="inlineStr">
        <is>
          <t>Operations</t>
        </is>
      </c>
      <c r="E31" s="10" t="n">
        <v>17165958</v>
      </c>
      <c r="F31" s="10" t="n">
        <v>1808323</v>
      </c>
      <c r="G31" s="31" t="n">
        <v>1583230</v>
      </c>
      <c r="H31" s="10">
        <f>E31+F31-G31</f>
        <v/>
      </c>
      <c r="I31" s="30" t="inlineStr">
        <is>
          <t>2026-03</t>
        </is>
      </c>
      <c r="J31" s="8" t="inlineStr">
        <is>
          <t>Mức phạt vượt trần cảnh báo</t>
        </is>
      </c>
    </row>
    <row r="32" ht="20" customHeight="1">
      <c r="A32" s="29" t="n">
        <v>31</v>
      </c>
      <c r="B32" s="29" t="inlineStr">
        <is>
          <t>E135</t>
        </is>
      </c>
      <c r="C32" s="11" t="inlineStr">
        <is>
          <t>Employee_135</t>
        </is>
      </c>
      <c r="D32" s="29" t="inlineStr">
        <is>
          <t>Finance</t>
        </is>
      </c>
      <c r="E32" s="13" t="n">
        <v>9523953</v>
      </c>
      <c r="F32" s="13" t="n">
        <v>1849842</v>
      </c>
      <c r="G32" s="13" t="n">
        <v>828927</v>
      </c>
      <c r="H32" s="13">
        <f>E32+F32-G32</f>
        <v/>
      </c>
      <c r="I32" s="29" t="inlineStr">
        <is>
          <t>2026-03</t>
        </is>
      </c>
      <c r="J32" s="11" t="inlineStr">
        <is>
          <t>Hợp lệ</t>
        </is>
      </c>
    </row>
    <row r="33" ht="20" customHeight="1">
      <c r="A33" s="30" t="n">
        <v>32</v>
      </c>
      <c r="B33" s="30" t="inlineStr">
        <is>
          <t>E142</t>
        </is>
      </c>
      <c r="C33" s="8" t="inlineStr">
        <is>
          <t>Employee_142</t>
        </is>
      </c>
      <c r="D33" s="30" t="inlineStr">
        <is>
          <t>Operations</t>
        </is>
      </c>
      <c r="E33" s="10" t="n">
        <v>29479590</v>
      </c>
      <c r="F33" s="10" t="n">
        <v>3503870</v>
      </c>
      <c r="G33" s="10" t="n">
        <v>607157</v>
      </c>
      <c r="H33" s="10">
        <f>E33+F33-G33</f>
        <v/>
      </c>
      <c r="I33" s="30" t="inlineStr">
        <is>
          <t>2026-03</t>
        </is>
      </c>
      <c r="J33" s="8" t="inlineStr">
        <is>
          <t>Hợp lệ</t>
        </is>
      </c>
    </row>
    <row r="34" ht="20" customHeight="1">
      <c r="A34" s="29" t="n">
        <v>33</v>
      </c>
      <c r="B34" s="29" t="inlineStr">
        <is>
          <t>E144</t>
        </is>
      </c>
      <c r="C34" s="11" t="inlineStr">
        <is>
          <t>Employee_144</t>
        </is>
      </c>
      <c r="D34" s="29" t="inlineStr">
        <is>
          <t>Finance</t>
        </is>
      </c>
      <c r="E34" s="13" t="n">
        <v>10957148</v>
      </c>
      <c r="F34" s="13" t="n">
        <v>3663403</v>
      </c>
      <c r="G34" s="31" t="n">
        <v>1771012</v>
      </c>
      <c r="H34" s="13">
        <f>E34+F34-G34</f>
        <v/>
      </c>
      <c r="I34" s="29" t="inlineStr">
        <is>
          <t>2026-03</t>
        </is>
      </c>
      <c r="J34" s="11" t="inlineStr">
        <is>
          <t>Mức phạt vượt trần cảnh báo</t>
        </is>
      </c>
    </row>
    <row r="35" ht="20" customHeight="1">
      <c r="A35" s="30" t="n">
        <v>34</v>
      </c>
      <c r="B35" s="30" t="inlineStr">
        <is>
          <t>E152</t>
        </is>
      </c>
      <c r="C35" s="8" t="inlineStr">
        <is>
          <t>Employee_152</t>
        </is>
      </c>
      <c r="D35" s="30" t="inlineStr">
        <is>
          <t>Finance</t>
        </is>
      </c>
      <c r="E35" s="10" t="n">
        <v>29045923</v>
      </c>
      <c r="F35" s="10" t="n">
        <v>2651965</v>
      </c>
      <c r="G35" s="10" t="n">
        <v>316580</v>
      </c>
      <c r="H35" s="10">
        <f>E35+F35-G35</f>
        <v/>
      </c>
      <c r="I35" s="30" t="inlineStr">
        <is>
          <t>2026-03</t>
        </is>
      </c>
      <c r="J35" s="8" t="inlineStr">
        <is>
          <t>Hợp lệ</t>
        </is>
      </c>
    </row>
    <row r="36" ht="20" customHeight="1">
      <c r="A36" s="29" t="n">
        <v>35</v>
      </c>
      <c r="B36" s="29" t="inlineStr">
        <is>
          <t>E153</t>
        </is>
      </c>
      <c r="C36" s="11" t="inlineStr">
        <is>
          <t>Employee_153</t>
        </is>
      </c>
      <c r="D36" s="29" t="inlineStr">
        <is>
          <t>Sales</t>
        </is>
      </c>
      <c r="E36" s="13" t="n">
        <v>23734380</v>
      </c>
      <c r="F36" s="13" t="n">
        <v>3709510</v>
      </c>
      <c r="G36" s="13" t="n">
        <v>1324110</v>
      </c>
      <c r="H36" s="13">
        <f>E36+F36-G36</f>
        <v/>
      </c>
      <c r="I36" s="29" t="inlineStr">
        <is>
          <t>2026-03</t>
        </is>
      </c>
      <c r="J36" s="11" t="inlineStr">
        <is>
          <t>Hợp lệ</t>
        </is>
      </c>
    </row>
    <row r="37" ht="20" customHeight="1">
      <c r="A37" s="30" t="n">
        <v>36</v>
      </c>
      <c r="B37" s="30" t="inlineStr">
        <is>
          <t>E159</t>
        </is>
      </c>
      <c r="C37" s="8" t="inlineStr">
        <is>
          <t>Employee_159</t>
        </is>
      </c>
      <c r="D37" s="30" t="inlineStr">
        <is>
          <t>HR</t>
        </is>
      </c>
      <c r="E37" s="10" t="n">
        <v>10076136</v>
      </c>
      <c r="F37" s="10" t="n">
        <v>3779261</v>
      </c>
      <c r="G37" s="10" t="n">
        <v>217059</v>
      </c>
      <c r="H37" s="10">
        <f>E37+F37-G37</f>
        <v/>
      </c>
      <c r="I37" s="30" t="inlineStr">
        <is>
          <t>2026-03</t>
        </is>
      </c>
      <c r="J37" s="8" t="inlineStr">
        <is>
          <t>Hợp lệ</t>
        </is>
      </c>
    </row>
    <row r="38" ht="20" customHeight="1">
      <c r="A38" s="29" t="n">
        <v>37</v>
      </c>
      <c r="B38" s="29" t="inlineStr">
        <is>
          <t>E163</t>
        </is>
      </c>
      <c r="C38" s="11" t="inlineStr">
        <is>
          <t>Employee_163</t>
        </is>
      </c>
      <c r="D38" s="29" t="inlineStr">
        <is>
          <t>Finance</t>
        </is>
      </c>
      <c r="E38" s="13" t="n">
        <v>28061720</v>
      </c>
      <c r="F38" s="13" t="n">
        <v>439273</v>
      </c>
      <c r="G38" s="31" t="n">
        <v>1655128</v>
      </c>
      <c r="H38" s="13">
        <f>E38+F38-G38</f>
        <v/>
      </c>
      <c r="I38" s="29" t="inlineStr">
        <is>
          <t>2026-03</t>
        </is>
      </c>
      <c r="J38" s="11" t="inlineStr">
        <is>
          <t>Mức phạt vượt trần cảnh báo</t>
        </is>
      </c>
    </row>
    <row r="39" ht="20" customHeight="1">
      <c r="A39" s="30" t="n">
        <v>38</v>
      </c>
      <c r="B39" s="30" t="inlineStr">
        <is>
          <t>E165</t>
        </is>
      </c>
      <c r="C39" s="8" t="inlineStr">
        <is>
          <t>Employee_165</t>
        </is>
      </c>
      <c r="D39" s="30" t="inlineStr">
        <is>
          <t>Finance</t>
        </is>
      </c>
      <c r="E39" s="10" t="n">
        <v>16455575</v>
      </c>
      <c r="F39" s="10" t="n">
        <v>1261422</v>
      </c>
      <c r="G39" s="10" t="n">
        <v>699110</v>
      </c>
      <c r="H39" s="10">
        <f>E39+F39-G39</f>
        <v/>
      </c>
      <c r="I39" s="30" t="inlineStr">
        <is>
          <t>2026-03</t>
        </is>
      </c>
      <c r="J39" s="8" t="inlineStr">
        <is>
          <t>Hợp lệ</t>
        </is>
      </c>
    </row>
    <row r="40" ht="20" customHeight="1">
      <c r="A40" s="29" t="n">
        <v>39</v>
      </c>
      <c r="B40" s="29" t="inlineStr">
        <is>
          <t>E167</t>
        </is>
      </c>
      <c r="C40" s="11" t="inlineStr">
        <is>
          <t>Employee_167</t>
        </is>
      </c>
      <c r="D40" s="29" t="inlineStr">
        <is>
          <t>HR</t>
        </is>
      </c>
      <c r="E40" s="13" t="n">
        <v>27966270</v>
      </c>
      <c r="F40" s="13" t="n">
        <v>710674</v>
      </c>
      <c r="G40" s="13" t="n">
        <v>649240</v>
      </c>
      <c r="H40" s="13">
        <f>E40+F40-G40</f>
        <v/>
      </c>
      <c r="I40" s="29" t="inlineStr">
        <is>
          <t>2026-03</t>
        </is>
      </c>
      <c r="J40" s="11" t="inlineStr">
        <is>
          <t>Hợp lệ</t>
        </is>
      </c>
    </row>
    <row r="41" ht="20" customHeight="1">
      <c r="A41" s="30" t="n">
        <v>40</v>
      </c>
      <c r="B41" s="30" t="inlineStr">
        <is>
          <t>E168</t>
        </is>
      </c>
      <c r="C41" s="8" t="inlineStr">
        <is>
          <t>Employee_168</t>
        </is>
      </c>
      <c r="D41" s="30" t="inlineStr">
        <is>
          <t>Finance</t>
        </is>
      </c>
      <c r="E41" s="10" t="n">
        <v>12288047</v>
      </c>
      <c r="F41" s="32" t="n">
        <v>4415707</v>
      </c>
      <c r="G41" s="10" t="n">
        <v>195985</v>
      </c>
      <c r="H41" s="10">
        <f>E41+F41-G41</f>
        <v/>
      </c>
      <c r="I41" s="30" t="inlineStr">
        <is>
          <t>2026-03</t>
        </is>
      </c>
      <c r="J41" s="8" t="inlineStr">
        <is>
          <t>Mức thưởng xuất sắc vượt trội</t>
        </is>
      </c>
    </row>
    <row r="42" ht="20" customHeight="1">
      <c r="A42" s="29" t="n">
        <v>41</v>
      </c>
      <c r="B42" s="29" t="inlineStr">
        <is>
          <t>E169</t>
        </is>
      </c>
      <c r="C42" s="11" t="inlineStr">
        <is>
          <t>Employee_169</t>
        </is>
      </c>
      <c r="D42" s="29" t="inlineStr">
        <is>
          <t>Finance</t>
        </is>
      </c>
      <c r="E42" s="13" t="n">
        <v>8611715</v>
      </c>
      <c r="F42" s="13" t="n">
        <v>3041689</v>
      </c>
      <c r="G42" s="13" t="n">
        <v>647739</v>
      </c>
      <c r="H42" s="13">
        <f>E42+F42-G42</f>
        <v/>
      </c>
      <c r="I42" s="29" t="inlineStr">
        <is>
          <t>2026-03</t>
        </is>
      </c>
      <c r="J42" s="11" t="inlineStr">
        <is>
          <t>Hợp lệ</t>
        </is>
      </c>
    </row>
    <row r="43" ht="20" customHeight="1">
      <c r="A43" s="30" t="n">
        <v>42</v>
      </c>
      <c r="B43" s="30" t="inlineStr">
        <is>
          <t>E173</t>
        </is>
      </c>
      <c r="C43" s="8" t="inlineStr">
        <is>
          <t>Employee_173</t>
        </is>
      </c>
      <c r="D43" s="30" t="inlineStr">
        <is>
          <t>HR</t>
        </is>
      </c>
      <c r="E43" s="10" t="n">
        <v>13444113</v>
      </c>
      <c r="F43" s="10" t="n">
        <v>1517045</v>
      </c>
      <c r="G43" s="31" t="n">
        <v>1743456</v>
      </c>
      <c r="H43" s="10">
        <f>E43+F43-G43</f>
        <v/>
      </c>
      <c r="I43" s="30" t="inlineStr">
        <is>
          <t>2026-03</t>
        </is>
      </c>
      <c r="J43" s="8" t="inlineStr">
        <is>
          <t>Mức phạt vượt trần cảnh báo</t>
        </is>
      </c>
    </row>
    <row r="44" ht="20" customHeight="1">
      <c r="A44" s="29" t="n">
        <v>43</v>
      </c>
      <c r="B44" s="29" t="inlineStr">
        <is>
          <t>E176</t>
        </is>
      </c>
      <c r="C44" s="11" t="inlineStr">
        <is>
          <t>Employee_176</t>
        </is>
      </c>
      <c r="D44" s="29" t="inlineStr">
        <is>
          <t>HR</t>
        </is>
      </c>
      <c r="E44" s="13" t="n">
        <v>25918440</v>
      </c>
      <c r="F44" s="13" t="n">
        <v>2006290</v>
      </c>
      <c r="G44" s="13" t="n">
        <v>649001</v>
      </c>
      <c r="H44" s="13">
        <f>E44+F44-G44</f>
        <v/>
      </c>
      <c r="I44" s="29" t="inlineStr">
        <is>
          <t>2026-03</t>
        </is>
      </c>
      <c r="J44" s="11" t="inlineStr">
        <is>
          <t>Hợp lệ</t>
        </is>
      </c>
    </row>
    <row r="45" ht="20" customHeight="1">
      <c r="A45" s="30" t="n">
        <v>44</v>
      </c>
      <c r="B45" s="30" t="inlineStr">
        <is>
          <t>E177</t>
        </is>
      </c>
      <c r="C45" s="8" t="inlineStr">
        <is>
          <t>Employee_177</t>
        </is>
      </c>
      <c r="D45" s="30" t="inlineStr">
        <is>
          <t>HR</t>
        </is>
      </c>
      <c r="E45" s="10" t="n">
        <v>20342694</v>
      </c>
      <c r="F45" s="32" t="n">
        <v>4785024</v>
      </c>
      <c r="G45" s="10" t="n">
        <v>923999</v>
      </c>
      <c r="H45" s="10">
        <f>E45+F45-G45</f>
        <v/>
      </c>
      <c r="I45" s="30" t="inlineStr">
        <is>
          <t>2026-03</t>
        </is>
      </c>
      <c r="J45" s="8" t="inlineStr">
        <is>
          <t>Mức thưởng xuất sắc vượt trội</t>
        </is>
      </c>
    </row>
    <row r="46" ht="20" customHeight="1">
      <c r="A46" s="29" t="n">
        <v>45</v>
      </c>
      <c r="B46" s="29" t="inlineStr">
        <is>
          <t>E178</t>
        </is>
      </c>
      <c r="C46" s="11" t="inlineStr">
        <is>
          <t>Employee_178</t>
        </is>
      </c>
      <c r="D46" s="29" t="inlineStr">
        <is>
          <t>Finance</t>
        </is>
      </c>
      <c r="E46" s="13" t="n">
        <v>20813512</v>
      </c>
      <c r="F46" s="32" t="n">
        <v>4218687</v>
      </c>
      <c r="G46" s="13" t="n">
        <v>1106163</v>
      </c>
      <c r="H46" s="13">
        <f>E46+F46-G46</f>
        <v/>
      </c>
      <c r="I46" s="29" t="inlineStr">
        <is>
          <t>2026-03</t>
        </is>
      </c>
      <c r="J46" s="11" t="inlineStr">
        <is>
          <t>Mức thưởng xuất sắc vượt trội</t>
        </is>
      </c>
    </row>
    <row r="47" ht="20" customHeight="1">
      <c r="A47" s="30" t="n">
        <v>46</v>
      </c>
      <c r="B47" s="30" t="inlineStr">
        <is>
          <t>E179</t>
        </is>
      </c>
      <c r="C47" s="8" t="inlineStr">
        <is>
          <t>Employee_179</t>
        </is>
      </c>
      <c r="D47" s="30" t="inlineStr">
        <is>
          <t>HR</t>
        </is>
      </c>
      <c r="E47" s="10" t="n">
        <v>14700743</v>
      </c>
      <c r="F47" s="10" t="n">
        <v>1160971</v>
      </c>
      <c r="G47" s="31" t="n">
        <v>1830817</v>
      </c>
      <c r="H47" s="10">
        <f>E47+F47-G47</f>
        <v/>
      </c>
      <c r="I47" s="30" t="inlineStr">
        <is>
          <t>2026-03</t>
        </is>
      </c>
      <c r="J47" s="8" t="inlineStr">
        <is>
          <t>Mức phạt vượt trần cảnh báo</t>
        </is>
      </c>
    </row>
    <row r="48" ht="20" customHeight="1">
      <c r="A48" s="29" t="n">
        <v>47</v>
      </c>
      <c r="B48" s="29" t="inlineStr">
        <is>
          <t>E184</t>
        </is>
      </c>
      <c r="C48" s="11" t="inlineStr">
        <is>
          <t>Employee_184</t>
        </is>
      </c>
      <c r="D48" s="29" t="inlineStr">
        <is>
          <t>Finance</t>
        </is>
      </c>
      <c r="E48" s="13" t="n">
        <v>8894903</v>
      </c>
      <c r="F48" s="13" t="n">
        <v>3480407</v>
      </c>
      <c r="G48" s="13" t="n">
        <v>111687</v>
      </c>
      <c r="H48" s="13">
        <f>E48+F48-G48</f>
        <v/>
      </c>
      <c r="I48" s="29" t="inlineStr">
        <is>
          <t>2026-03</t>
        </is>
      </c>
      <c r="J48" s="11" t="inlineStr">
        <is>
          <t>Hợp lệ</t>
        </is>
      </c>
    </row>
    <row r="49" ht="20" customHeight="1">
      <c r="A49" s="30" t="n">
        <v>48</v>
      </c>
      <c r="B49" s="30" t="inlineStr">
        <is>
          <t>E185</t>
        </is>
      </c>
      <c r="C49" s="8" t="inlineStr">
        <is>
          <t>Employee_185</t>
        </is>
      </c>
      <c r="D49" s="30" t="inlineStr">
        <is>
          <t>Finance</t>
        </is>
      </c>
      <c r="E49" s="10" t="n">
        <v>15911399</v>
      </c>
      <c r="F49" s="10" t="n">
        <v>3239396</v>
      </c>
      <c r="G49" s="10" t="n">
        <v>171139</v>
      </c>
      <c r="H49" s="10">
        <f>E49+F49-G49</f>
        <v/>
      </c>
      <c r="I49" s="30" t="inlineStr">
        <is>
          <t>2026-03</t>
        </is>
      </c>
      <c r="J49" s="8" t="inlineStr">
        <is>
          <t>Hợp lệ</t>
        </is>
      </c>
    </row>
    <row r="50" ht="20" customHeight="1">
      <c r="A50" s="29" t="n">
        <v>49</v>
      </c>
      <c r="B50" s="29" t="inlineStr">
        <is>
          <t>E192</t>
        </is>
      </c>
      <c r="C50" s="11" t="inlineStr">
        <is>
          <t>Employee_192</t>
        </is>
      </c>
      <c r="D50" s="29" t="inlineStr">
        <is>
          <t>Sales</t>
        </is>
      </c>
      <c r="E50" s="13" t="n">
        <v>11719773</v>
      </c>
      <c r="F50" s="32" t="n">
        <v>4192871</v>
      </c>
      <c r="G50" s="13" t="n">
        <v>1251452</v>
      </c>
      <c r="H50" s="13">
        <f>E50+F50-G50</f>
        <v/>
      </c>
      <c r="I50" s="29" t="inlineStr">
        <is>
          <t>2026-03</t>
        </is>
      </c>
      <c r="J50" s="11" t="inlineStr">
        <is>
          <t>Thưởng và Phạt đều cao bất thường</t>
        </is>
      </c>
    </row>
    <row r="51" ht="20" customHeight="1">
      <c r="A51" s="30" t="n">
        <v>50</v>
      </c>
      <c r="B51" s="30" t="inlineStr">
        <is>
          <t>E197</t>
        </is>
      </c>
      <c r="C51" s="8" t="inlineStr">
        <is>
          <t>Employee_197</t>
        </is>
      </c>
      <c r="D51" s="30" t="inlineStr">
        <is>
          <t>Finance</t>
        </is>
      </c>
      <c r="E51" s="10" t="n">
        <v>16511090</v>
      </c>
      <c r="F51" s="10" t="n">
        <v>136249</v>
      </c>
      <c r="G51" s="10" t="n">
        <v>748880</v>
      </c>
      <c r="H51" s="10">
        <f>E51+F51-G51</f>
        <v/>
      </c>
      <c r="I51" s="30" t="inlineStr">
        <is>
          <t>2026-03</t>
        </is>
      </c>
      <c r="J51" s="8" t="inlineStr">
        <is>
          <t>Hợp lệ</t>
        </is>
      </c>
    </row>
    <row r="52" ht="24" customHeight="1">
      <c r="A52" s="33" t="inlineStr"/>
      <c r="B52" s="34" t="inlineStr">
        <is>
          <t>TỔNG CỘNG</t>
        </is>
      </c>
      <c r="C52" s="34" t="inlineStr">
        <is>
          <t>50 NV</t>
        </is>
      </c>
      <c r="D52" s="33" t="inlineStr"/>
      <c r="E52" s="35">
        <f>SUM(E2:E51)</f>
        <v/>
      </c>
      <c r="F52" s="35">
        <f>SUM(F2:F51)</f>
        <v/>
      </c>
      <c r="G52" s="35">
        <f>SUM(G2:G51)</f>
        <v/>
      </c>
      <c r="H52" s="35">
        <f>SUM(H2:H51)</f>
        <v/>
      </c>
      <c r="I52" s="33" t="inlineStr"/>
      <c r="J52" s="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2026-09-09T14:51:19Z</dcterms:created>
  <dcterms:modified xsi:type="dcterms:W3CDTF">2026-09-09T14:51:20Z</dcterms:modified>
</cp:coreProperties>
</file>