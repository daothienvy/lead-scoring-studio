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Payroll_Summary_By_Role" sheetId="2" state="visible" r:id="rId2"/>
    <sheet name="Monthly_Fund_Trends" sheetId="3" state="visible" r:id="rId3"/>
    <sheet name="Cleaned_Payroll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₫"/>
    <numFmt numFmtId="165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7F8C8D"/>
      <sz val="11"/>
    </font>
    <font>
      <name val="Segoe UI"/>
      <b val="1"/>
      <color rgb="005D6D7E"/>
      <sz val="9"/>
    </font>
    <font>
      <name val="Segoe UI"/>
      <b val="1"/>
      <color rgb="001B365D"/>
      <sz val="18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</font>
  </fonts>
  <fills count="6">
    <fill>
      <patternFill/>
    </fill>
    <fill>
      <patternFill patternType="gray125"/>
    </fill>
    <fill>
      <patternFill patternType="solid">
        <fgColor rgb="00EAECEE"/>
        <bgColor rgb="00EAECEE"/>
      </patternFill>
    </fill>
    <fill>
      <patternFill patternType="solid">
        <fgColor rgb="00F8F9F9"/>
        <bgColor rgb="00F8F9F9"/>
      </patternFill>
    </fill>
    <fill>
      <patternFill patternType="solid">
        <fgColor rgb="001B365D"/>
        <bgColor rgb="001B365D"/>
      </patternFill>
    </fill>
    <fill>
      <patternFill patternType="solid">
        <fgColor rgb="00F9FAFA"/>
        <bgColor rgb="00F9FA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164" fontId="0" fillId="5" borderId="1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164" fontId="7" fillId="2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5" fontId="0" fillId="0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Xu Hướng Biến Động Doanh Thu Tư Vấn vs Chi Phí Quỹ Lương 24 Tháng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'Monthly_Fund_Trends'!B3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'Monthly_Fund_Trends'!$A$4:$A$27</f>
            </numRef>
          </cat>
          <val>
            <numRef>
              <f>'Monthly_Fund_Trends'!$B$4:$B$27</f>
            </numRef>
          </val>
        </ser>
        <ser>
          <idx val="1"/>
          <order val="1"/>
          <tx>
            <strRef>
              <f>'Monthly_Fund_Trends'!K3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'Monthly_Fund_Trends'!$A$4:$A$27</f>
            </numRef>
          </cat>
          <val>
            <numRef>
              <f>'Monthly_Fund_Trends'!$K$4:$K$27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Tháng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Giá trị (VNĐ)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Tổng Chi Phí Quỹ Lương 24 Tháng Theo Vị Trí (VNĐ)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'Payroll_Summary_By_Role'!M3</f>
            </strRef>
          </tx>
          <spPr>
            <a:ln>
              <a:prstDash val="solid"/>
            </a:ln>
          </spPr>
          <cat>
            <numRef>
              <f>'Payroll_Summary_By_Role'!$B$4:$B$15</f>
            </numRef>
          </cat>
          <val>
            <numRef>
              <f>'Payroll_Summary_By_Role'!$M$4:$M$15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Nhân Sự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Tổng Chi Phí (VNĐ)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Cơ Cấu Lương Cố Định vs Thưởng &amp; Hoa Hồng Biến Đổi 24 Tháng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'Monthly_Fund_Trends'!C3</f>
            </strRef>
          </tx>
          <spPr>
            <a:ln>
              <a:prstDash val="solid"/>
            </a:ln>
          </spPr>
          <cat>
            <numRef>
              <f>'Monthly_Fund_Trends'!$A$4:$A$27</f>
            </numRef>
          </cat>
          <val>
            <numRef>
              <f>'Monthly_Fund_Trends'!$C$4:$C$27</f>
            </numRef>
          </val>
        </ser>
        <ser>
          <idx val="1"/>
          <order val="1"/>
          <tx>
            <strRef>
              <f>'Monthly_Fund_Trends'!F3</f>
            </strRef>
          </tx>
          <spPr>
            <a:ln>
              <a:prstDash val="solid"/>
            </a:ln>
          </spPr>
          <cat>
            <numRef>
              <f>'Monthly_Fund_Trends'!$A$4:$A$27</f>
            </numRef>
          </cat>
          <val>
            <numRef>
              <f>'Monthly_Fund_Trends'!$F$4:$F$27</f>
            </numRef>
          </val>
        </ser>
        <ser>
          <idx val="2"/>
          <order val="2"/>
          <tx>
            <strRef>
              <f>'Monthly_Fund_Trends'!G3</f>
            </strRef>
          </tx>
          <spPr>
            <a:ln>
              <a:prstDash val="solid"/>
            </a:ln>
          </spPr>
          <cat>
            <numRef>
              <f>'Monthly_Fund_Trends'!$A$4:$A$27</f>
            </numRef>
          </cat>
          <val>
            <numRef>
              <f>'Monthly_Fund_Trends'!$G$4:$G$27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7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86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37" customWidth="1" min="4" max="4"/>
    <col width="12" customWidth="1" min="5" max="5"/>
    <col width="37" customWidth="1" min="6" max="6"/>
    <col width="12" customWidth="1" min="7" max="7"/>
    <col width="36" customWidth="1" min="8" max="8"/>
    <col width="12" customWidth="1" min="9" max="9"/>
    <col width="33" customWidth="1" min="10" max="10"/>
    <col width="12" customWidth="1" min="11" max="11"/>
  </cols>
  <sheetData>
    <row r="1" ht="32" customHeight="1">
      <c r="A1" s="1" t="inlineStr">
        <is>
          <t>BAN ĐIỀU HÀNH — BÁO CÁO QUẢN TRỊ QUỸ LƯƠNG NHÂN SỰ CẤP CAO (24 THÁNG)</t>
        </is>
      </c>
    </row>
    <row r="2" ht="20" customHeight="1">
      <c r="A2" s="2" t="inlineStr">
        <is>
          <t>Phân tích Quỹ lương C-Level &amp; Giám đốc Khối ngành Tư vấn Định cư &amp; Đầu tư Di trú (10/2024 - 09/2026)</t>
        </is>
      </c>
    </row>
    <row r="3"/>
    <row r="4" ht="18" customHeight="1">
      <c r="B4" s="3" t="inlineStr">
        <is>
          <t>TỔNG QUỸ LƯƠNG DOANH NGHIỆP (24T)</t>
        </is>
      </c>
      <c r="C4" s="4" t="n"/>
      <c r="D4" s="3" t="inlineStr">
        <is>
          <t>TỶ LỆ QUỸ LƯƠNG / DOANH THU (PRR)</t>
        </is>
      </c>
      <c r="E4" s="4" t="n"/>
      <c r="F4" s="3" t="inlineStr">
        <is>
          <t>TỶ TRỌNG LƯƠNG BIẾN ĐỔI (VAR PAY)</t>
        </is>
      </c>
      <c r="G4" s="4" t="n"/>
      <c r="H4" s="3" t="inlineStr">
        <is>
          <t>HIỆU SUẤT VỐN CON NGƯỜI (HC-ROI)</t>
        </is>
      </c>
      <c r="I4" s="4" t="n"/>
      <c r="J4" s="3" t="inlineStr">
        <is>
          <t>TỔNG THUẾ TNCN ĐÓNG GÓP (24T)</t>
        </is>
      </c>
      <c r="K4" s="4" t="n"/>
    </row>
    <row r="5" ht="28" customHeight="1">
      <c r="B5" s="5" t="inlineStr">
        <is>
          <t>52,240,569,292 ₫</t>
        </is>
      </c>
      <c r="C5" s="4" t="n"/>
      <c r="D5" s="5" t="inlineStr">
        <is>
          <t>23.0%</t>
        </is>
      </c>
      <c r="E5" s="4" t="n"/>
      <c r="F5" s="5" t="inlineStr">
        <is>
          <t>38.8% (Thưởng &amp; Override)</t>
        </is>
      </c>
      <c r="G5" s="4" t="n"/>
      <c r="H5" s="5" t="inlineStr">
        <is>
          <t>4.34x (Doanh thu/Chi phí)</t>
        </is>
      </c>
      <c r="I5" s="4" t="n"/>
      <c r="J5" s="5" t="inlineStr">
        <is>
          <t>11,715,451,252 ₫</t>
        </is>
      </c>
      <c r="K5" s="4" t="n"/>
    </row>
  </sheetData>
  <mergeCells count="12">
    <mergeCell ref="F4:G4"/>
    <mergeCell ref="J4:K4"/>
    <mergeCell ref="J5:K5"/>
    <mergeCell ref="B5:C5"/>
    <mergeCell ref="F5:G5"/>
    <mergeCell ref="D5:E5"/>
    <mergeCell ref="A2:K2"/>
    <mergeCell ref="H5:I5"/>
    <mergeCell ref="D4:E4"/>
    <mergeCell ref="H4:I4"/>
    <mergeCell ref="A1:K1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3" customWidth="1" min="3" max="3"/>
    <col width="23" customWidth="1" min="4" max="4"/>
    <col width="20" customWidth="1" min="5" max="5"/>
    <col width="20" customWidth="1" min="6" max="6"/>
    <col width="20" customWidth="1" min="7" max="7"/>
    <col width="24" customWidth="1" min="8" max="8"/>
    <col width="22" customWidth="1" min="9" max="9"/>
    <col width="22" customWidth="1" min="10" max="10"/>
    <col width="22" customWidth="1" min="11" max="11"/>
    <col width="22" customWidth="1" min="12" max="12"/>
    <col width="26" customWidth="1" min="13" max="13"/>
  </cols>
  <sheetData>
    <row r="1" ht="26" customHeight="1">
      <c r="A1" s="6" t="inlineStr">
        <is>
          <t>BẢNG TỔNG HỢP QUỸ LƯƠNG &amp; HIỆU SUẤT THEO 12 VỊ TRÍ LÃNH ĐẠO (24 THÁNG)</t>
        </is>
      </c>
    </row>
    <row r="2"/>
    <row r="3" ht="28" customHeight="1">
      <c r="A3" s="7" t="inlineStr">
        <is>
          <t>Mã NV</t>
        </is>
      </c>
      <c r="B3" s="7" t="inlineStr">
        <is>
          <t>Họ và Tên</t>
        </is>
      </c>
      <c r="C3" s="7" t="inlineStr">
        <is>
          <t>Chức Danh Cấp Cao</t>
        </is>
      </c>
      <c r="D3" s="7" t="inlineStr">
        <is>
          <t>Khối Chức Năng</t>
        </is>
      </c>
      <c r="E3" s="7" t="inlineStr">
        <is>
          <t>Lương Cứng TB</t>
        </is>
      </c>
      <c r="F3" s="7" t="inlineStr">
        <is>
          <t>Phụ Cấp VIP TB</t>
        </is>
      </c>
      <c r="G3" s="7" t="inlineStr">
        <is>
          <t>KPI Thưởng TB</t>
        </is>
      </c>
      <c r="H3" s="7" t="inlineStr">
        <is>
          <t>Hoa Hồng Override TB</t>
        </is>
      </c>
      <c r="I3" s="7" t="inlineStr">
        <is>
          <t>Escrow Visa TB</t>
        </is>
      </c>
      <c r="J3" s="7" t="inlineStr">
        <is>
          <t>Thu Nhập Gross TB</t>
        </is>
      </c>
      <c r="K3" s="7" t="inlineStr">
        <is>
          <t>Thuế TNCN TB</t>
        </is>
      </c>
      <c r="L3" s="7" t="inlineStr">
        <is>
          <t>Lương Net TB</t>
        </is>
      </c>
      <c r="M3" s="7" t="inlineStr">
        <is>
          <t>Tổng Chi Phí Cty (24T)</t>
        </is>
      </c>
    </row>
    <row r="4">
      <c r="A4" s="8" t="inlineStr">
        <is>
          <t>EMP001</t>
        </is>
      </c>
      <c r="B4" s="9" t="inlineStr">
        <is>
          <t>Nguyễn Quốc Hùng</t>
        </is>
      </c>
      <c r="C4" s="9" t="inlineStr">
        <is>
          <t>Tổng Giám Đốc (Managing Director / CEO)</t>
        </is>
      </c>
      <c r="D4" s="8" t="inlineStr">
        <is>
          <t>Điều Hành Chung</t>
        </is>
      </c>
      <c r="E4" s="10" t="n">
        <v>130000000</v>
      </c>
      <c r="F4" s="10" t="n">
        <v>25000000</v>
      </c>
      <c r="G4" s="10" t="n">
        <v>19475625</v>
      </c>
      <c r="H4" s="10" t="n">
        <v>75601725.125</v>
      </c>
      <c r="I4" s="10" t="n">
        <v>17333333.33333333</v>
      </c>
      <c r="J4" s="10" t="n">
        <v>267410683.4583333</v>
      </c>
      <c r="K4" s="10" t="n">
        <v>74210439.25</v>
      </c>
      <c r="L4" s="10" t="n">
        <v>187762244.2083333</v>
      </c>
      <c r="M4" s="10" t="n">
        <v>6743920403</v>
      </c>
    </row>
    <row r="5">
      <c r="A5" s="11" t="inlineStr">
        <is>
          <t>EMP002</t>
        </is>
      </c>
      <c r="B5" s="12" t="inlineStr">
        <is>
          <t>Trần Minh Tuấn</t>
        </is>
      </c>
      <c r="C5" s="12" t="inlineStr">
        <is>
          <t>Phó TGĐ Kinh Doanh (Deputy CEO &amp; Head of BD)</t>
        </is>
      </c>
      <c r="D5" s="11" t="inlineStr">
        <is>
          <t>Thương Mại &amp; BD</t>
        </is>
      </c>
      <c r="E5" s="13" t="n">
        <v>105000000</v>
      </c>
      <c r="F5" s="13" t="n">
        <v>20000000</v>
      </c>
      <c r="G5" s="13" t="n">
        <v>16376718.75</v>
      </c>
      <c r="H5" s="13" t="n">
        <v>86575647.5</v>
      </c>
      <c r="I5" s="13" t="n">
        <v>22417307.375</v>
      </c>
      <c r="J5" s="13" t="n">
        <v>250369673.625</v>
      </c>
      <c r="K5" s="13" t="n">
        <v>68246085.79166667</v>
      </c>
      <c r="L5" s="13" t="n">
        <v>176685587.8333333</v>
      </c>
      <c r="M5" s="13" t="n">
        <v>6334936167</v>
      </c>
    </row>
    <row r="6">
      <c r="A6" s="8" t="inlineStr">
        <is>
          <t>EMP003</t>
        </is>
      </c>
      <c r="B6" s="9" t="inlineStr">
        <is>
          <t>LS. Lê Hoàng Nam</t>
        </is>
      </c>
      <c r="C6" s="9" t="inlineStr">
        <is>
          <t>Giám Đốc Pháp Lý &amp; Thụ Lý Hồ Sơ (Legal Director)</t>
        </is>
      </c>
      <c r="D6" s="8" t="inlineStr">
        <is>
          <t>Pháp Lý Di Trú</t>
        </is>
      </c>
      <c r="E6" s="10" t="n">
        <v>95000000</v>
      </c>
      <c r="F6" s="10" t="n">
        <v>15000000</v>
      </c>
      <c r="G6" s="10" t="n">
        <v>12637968.75</v>
      </c>
      <c r="H6" s="10" t="n">
        <v>38637521.66666666</v>
      </c>
      <c r="I6" s="10" t="n">
        <v>9831688.5</v>
      </c>
      <c r="J6" s="10" t="n">
        <v>171107178.9166667</v>
      </c>
      <c r="K6" s="10" t="n">
        <v>42058912.66666666</v>
      </c>
      <c r="L6" s="10" t="n">
        <v>123652266.25</v>
      </c>
      <c r="M6" s="10" t="n">
        <v>4431628294</v>
      </c>
    </row>
    <row r="7">
      <c r="A7" s="11" t="inlineStr">
        <is>
          <t>EMP004</t>
        </is>
      </c>
      <c r="B7" s="12" t="inlineStr">
        <is>
          <t>Phạm Thanh Hà</t>
        </is>
      </c>
      <c r="C7" s="12" t="inlineStr">
        <is>
          <t>Giám Đốc Thẩm Định Đầu Tư (Investment DD Director)</t>
        </is>
      </c>
      <c r="D7" s="11" t="inlineStr">
        <is>
          <t>Đầu Tư &amp; Thẩm Định</t>
        </is>
      </c>
      <c r="E7" s="13" t="n">
        <v>90000000</v>
      </c>
      <c r="F7" s="13" t="n">
        <v>15000000</v>
      </c>
      <c r="G7" s="13" t="n">
        <v>12940312.5</v>
      </c>
      <c r="H7" s="13" t="n">
        <v>31321594.375</v>
      </c>
      <c r="I7" s="13" t="n">
        <v>0</v>
      </c>
      <c r="J7" s="13" t="n">
        <v>149261906.875</v>
      </c>
      <c r="K7" s="13" t="n">
        <v>34430567.41666666</v>
      </c>
      <c r="L7" s="13" t="n">
        <v>109485339.4583333</v>
      </c>
      <c r="M7" s="13" t="n">
        <v>3906141765</v>
      </c>
    </row>
    <row r="8">
      <c r="A8" s="8" t="inlineStr">
        <is>
          <t>EMP005</t>
        </is>
      </c>
      <c r="B8" s="9" t="inlineStr">
        <is>
          <t>Vũ Hải Đăng</t>
        </is>
      </c>
      <c r="C8" s="9" t="inlineStr">
        <is>
          <t>Giám Đốc Khách Hàng VIP (Private Clients Director)</t>
        </is>
      </c>
      <c r="D8" s="8" t="inlineStr">
        <is>
          <t>Thương Mại &amp; BD</t>
        </is>
      </c>
      <c r="E8" s="10" t="n">
        <v>85000000</v>
      </c>
      <c r="F8" s="10" t="n">
        <v>20000000</v>
      </c>
      <c r="G8" s="10" t="n">
        <v>11977031.25</v>
      </c>
      <c r="H8" s="10" t="n">
        <v>72943370.08333333</v>
      </c>
      <c r="I8" s="10" t="n">
        <v>20596066.58333333</v>
      </c>
      <c r="J8" s="10" t="n">
        <v>210516467.9166667</v>
      </c>
      <c r="K8" s="10" t="n">
        <v>55887163.70833334</v>
      </c>
      <c r="L8" s="10" t="n">
        <v>149333304.2083333</v>
      </c>
      <c r="M8" s="10" t="n">
        <v>5375051230</v>
      </c>
    </row>
    <row r="9">
      <c r="A9" s="11" t="inlineStr">
        <is>
          <t>EMP006</t>
        </is>
      </c>
      <c r="B9" s="12" t="inlineStr">
        <is>
          <t>Đỗ Phương Thảo</t>
        </is>
      </c>
      <c r="C9" s="12" t="inlineStr">
        <is>
          <t>Giám Đốc Marketing &amp; Thương Hiệu (CMO)</t>
        </is>
      </c>
      <c r="D9" s="11" t="inlineStr">
        <is>
          <t>Tiếp Thị &amp; Brand</t>
        </is>
      </c>
      <c r="E9" s="13" t="n">
        <v>80000000</v>
      </c>
      <c r="F9" s="13" t="n">
        <v>12000000</v>
      </c>
      <c r="G9" s="13" t="n">
        <v>12142500</v>
      </c>
      <c r="H9" s="13" t="n">
        <v>12532410.20833333</v>
      </c>
      <c r="I9" s="13" t="n">
        <v>0</v>
      </c>
      <c r="J9" s="13" t="n">
        <v>116674910.2083333</v>
      </c>
      <c r="K9" s="13" t="n">
        <v>24600118.5</v>
      </c>
      <c r="L9" s="13" t="n">
        <v>86828791.70833333</v>
      </c>
      <c r="M9" s="13" t="n">
        <v>3121653845</v>
      </c>
    </row>
    <row r="10">
      <c r="A10" s="8" t="inlineStr">
        <is>
          <t>EMP007</t>
        </is>
      </c>
      <c r="B10" s="9" t="inlineStr">
        <is>
          <t>Hoàng Gia Bách</t>
        </is>
      </c>
      <c r="C10" s="9" t="inlineStr">
        <is>
          <t>Giám Đốc Chi Nhánh Hà Nội (Northern Regional Dir.)</t>
        </is>
      </c>
      <c r="D10" s="8" t="inlineStr">
        <is>
          <t>Khối Chi Nhánh</t>
        </is>
      </c>
      <c r="E10" s="10" t="n">
        <v>85000000</v>
      </c>
      <c r="F10" s="10" t="n">
        <v>15000000</v>
      </c>
      <c r="G10" s="10" t="n">
        <v>12067343.75</v>
      </c>
      <c r="H10" s="10" t="n">
        <v>56805131.79166666</v>
      </c>
      <c r="I10" s="10" t="n">
        <v>13407994.20833333</v>
      </c>
      <c r="J10" s="10" t="n">
        <v>182280469.75</v>
      </c>
      <c r="K10" s="10" t="n">
        <v>44464564.5</v>
      </c>
      <c r="L10" s="10" t="n">
        <v>132519905.25</v>
      </c>
      <c r="M10" s="10" t="n">
        <v>4697387274</v>
      </c>
    </row>
    <row r="11">
      <c r="A11" s="11" t="inlineStr">
        <is>
          <t>EMP008</t>
        </is>
      </c>
      <c r="B11" s="12" t="inlineStr">
        <is>
          <t>Ngô Thị Bích Ngọc</t>
        </is>
      </c>
      <c r="C11" s="12" t="inlineStr">
        <is>
          <t>Giám Đốc Chi Nhánh TP.HCM (Southern Regional Dir.)</t>
        </is>
      </c>
      <c r="D11" s="11" t="inlineStr">
        <is>
          <t>Khối Chi Nhánh</t>
        </is>
      </c>
      <c r="E11" s="13" t="n">
        <v>90000000</v>
      </c>
      <c r="F11" s="13" t="n">
        <v>15000000</v>
      </c>
      <c r="G11" s="13" t="n">
        <v>14715000</v>
      </c>
      <c r="H11" s="13" t="n">
        <v>73301956.08333333</v>
      </c>
      <c r="I11" s="13" t="n">
        <v>19820071.16666667</v>
      </c>
      <c r="J11" s="13" t="n">
        <v>212837027.25</v>
      </c>
      <c r="K11" s="13" t="n">
        <v>56681859.5</v>
      </c>
      <c r="L11" s="13" t="n">
        <v>150809167.75</v>
      </c>
      <c r="M11" s="13" t="n">
        <v>5431944654</v>
      </c>
    </row>
    <row r="12">
      <c r="A12" s="8" t="inlineStr">
        <is>
          <t>EMP009</t>
        </is>
      </c>
      <c r="B12" s="9" t="inlineStr">
        <is>
          <t>Trịnh Minh Trí</t>
        </is>
      </c>
      <c r="C12" s="9" t="inlineStr">
        <is>
          <t>Trưởng Ban Đối Ngoại &amp; Lãnh Sự (Head of Consular)</t>
        </is>
      </c>
      <c r="D12" s="8" t="inlineStr">
        <is>
          <t>Đối Ngoại Lãnh Sự</t>
        </is>
      </c>
      <c r="E12" s="10" t="n">
        <v>70000000</v>
      </c>
      <c r="F12" s="10" t="n">
        <v>15000000</v>
      </c>
      <c r="G12" s="10" t="n">
        <v>10298750</v>
      </c>
      <c r="H12" s="10" t="n">
        <v>34908046.95833334</v>
      </c>
      <c r="I12" s="10" t="n">
        <v>9263500.875</v>
      </c>
      <c r="J12" s="10" t="n">
        <v>139470297.8333333</v>
      </c>
      <c r="K12" s="10" t="n">
        <v>31073504.25</v>
      </c>
      <c r="L12" s="10" t="n">
        <v>103250793.5833333</v>
      </c>
      <c r="M12" s="10" t="n">
        <v>3666343148</v>
      </c>
    </row>
    <row r="13">
      <c r="A13" s="11" t="inlineStr">
        <is>
          <t>EMP010</t>
        </is>
      </c>
      <c r="B13" s="12" t="inlineStr">
        <is>
          <t>Bùi Thanh Mai</t>
        </is>
      </c>
      <c r="C13" s="12" t="inlineStr">
        <is>
          <t>Trưởng Ban An Cư (Head of Settlement Operations)</t>
        </is>
      </c>
      <c r="D13" s="11" t="inlineStr">
        <is>
          <t>Vận Hành An Cư</t>
        </is>
      </c>
      <c r="E13" s="13" t="n">
        <v>65000000</v>
      </c>
      <c r="F13" s="13" t="n">
        <v>10000000</v>
      </c>
      <c r="G13" s="13" t="n">
        <v>9061406.25</v>
      </c>
      <c r="H13" s="13" t="n">
        <v>10783839.58333333</v>
      </c>
      <c r="I13" s="13" t="n">
        <v>0</v>
      </c>
      <c r="J13" s="13" t="n">
        <v>94845245.83333333</v>
      </c>
      <c r="K13" s="13" t="n">
        <v>15857073.625</v>
      </c>
      <c r="L13" s="13" t="n">
        <v>73892172.20833333</v>
      </c>
      <c r="M13" s="13" t="n">
        <v>2594141900</v>
      </c>
    </row>
    <row r="14">
      <c r="A14" s="8" t="inlineStr">
        <is>
          <t>EMP011</t>
        </is>
      </c>
      <c r="B14" s="9" t="inlineStr">
        <is>
          <t>Đặng Văn Lâm</t>
        </is>
      </c>
      <c r="C14" s="9" t="inlineStr">
        <is>
          <t>Giám Đốc Tài Chính Quốc Tế (CFO)</t>
        </is>
      </c>
      <c r="D14" s="8" t="inlineStr">
        <is>
          <t>Tài Chính &amp; Kế Toán</t>
        </is>
      </c>
      <c r="E14" s="10" t="n">
        <v>90000000</v>
      </c>
      <c r="F14" s="10" t="n">
        <v>12000000</v>
      </c>
      <c r="G14" s="10" t="n">
        <v>12656250</v>
      </c>
      <c r="H14" s="10" t="n">
        <v>13084855.79166667</v>
      </c>
      <c r="I14" s="10" t="n">
        <v>0</v>
      </c>
      <c r="J14" s="10" t="n">
        <v>127741105.7916667</v>
      </c>
      <c r="K14" s="10" t="n">
        <v>25358287</v>
      </c>
      <c r="L14" s="10" t="n">
        <v>97036818.79166667</v>
      </c>
      <c r="M14" s="10" t="n">
        <v>3389642539</v>
      </c>
    </row>
    <row r="15">
      <c r="A15" s="11" t="inlineStr">
        <is>
          <t>EMP012</t>
        </is>
      </c>
      <c r="B15" s="12" t="inlineStr">
        <is>
          <t>Võ Quỳnh Trang</t>
        </is>
      </c>
      <c r="C15" s="12" t="inlineStr">
        <is>
          <t>Giám Đốc Nhân Sự &amp; Tuân Thủ (HR &amp; Compliance Dir.)</t>
        </is>
      </c>
      <c r="D15" s="11" t="inlineStr">
        <is>
          <t>Nhân Sự &amp; Quản Trị</t>
        </is>
      </c>
      <c r="E15" s="13" t="n">
        <v>65000000</v>
      </c>
      <c r="F15" s="13" t="n">
        <v>10000000</v>
      </c>
      <c r="G15" s="13" t="n">
        <v>7954375</v>
      </c>
      <c r="H15" s="13" t="n">
        <v>9959044.708333334</v>
      </c>
      <c r="I15" s="13" t="n">
        <v>0</v>
      </c>
      <c r="J15" s="13" t="n">
        <v>92913419.70833333</v>
      </c>
      <c r="K15" s="13" t="n">
        <v>15275225.95833333</v>
      </c>
      <c r="L15" s="13" t="n">
        <v>72542193.75</v>
      </c>
      <c r="M15" s="13" t="n">
        <v>2547778073</v>
      </c>
    </row>
    <row r="16">
      <c r="B16" s="14" t="inlineStr">
        <is>
          <t>TỔNG CỘNG / TRUNG BÌNH</t>
        </is>
      </c>
      <c r="E16" s="15">
        <f>AVERAGE(E4:E15)</f>
        <v/>
      </c>
      <c r="F16" s="15">
        <f>AVERAGE(F4:F15)</f>
        <v/>
      </c>
      <c r="G16" s="15">
        <f>AVERAGE(G4:G15)</f>
        <v/>
      </c>
      <c r="H16" s="15">
        <f>AVERAGE(H4:H15)</f>
        <v/>
      </c>
      <c r="I16" s="15">
        <f>AVERAGE(I4:I15)</f>
        <v/>
      </c>
      <c r="J16" s="15">
        <f>AVERAGE(J4:J15)</f>
        <v/>
      </c>
      <c r="K16" s="15">
        <f>AVERAGE(K4:K15)</f>
        <v/>
      </c>
      <c r="L16" s="15">
        <f>AVERAGE(L4:L15)</f>
        <v/>
      </c>
      <c r="M16" s="15">
        <f>SUM(M4:M15)</f>
        <v/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5" customWidth="1" min="4" max="4"/>
    <col width="14" customWidth="1" min="5" max="5"/>
    <col width="21" customWidth="1" min="6" max="6"/>
    <col width="20" customWidth="1" min="7" max="7"/>
    <col width="14" customWidth="1" min="8" max="8"/>
    <col width="13" customWidth="1" min="9" max="9"/>
    <col width="14" customWidth="1" min="10" max="10"/>
    <col width="20" customWidth="1" min="11" max="11"/>
  </cols>
  <sheetData>
    <row r="1" ht="26" customHeight="1">
      <c r="A1" s="6" t="inlineStr">
        <is>
          <t>BIẾN ĐỘNG QUỸ LƯƠNG &amp; TƯƠNG QUAN DOANH THU DỊCH VỤ DI TRÚ (24 THÁNG)</t>
        </is>
      </c>
    </row>
    <row r="2"/>
    <row r="3" ht="28" customHeight="1">
      <c r="A3" s="16" t="inlineStr">
        <is>
          <t>Tháng</t>
        </is>
      </c>
      <c r="B3" s="16" t="inlineStr">
        <is>
          <t>Doanh Thu Tư Vấn</t>
        </is>
      </c>
      <c r="C3" s="16" t="inlineStr">
        <is>
          <t>Lương Cứng</t>
        </is>
      </c>
      <c r="D3" s="16" t="inlineStr">
        <is>
          <t>Phụ Cấp VIP</t>
        </is>
      </c>
      <c r="E3" s="16" t="inlineStr">
        <is>
          <t>Thưởng KPI</t>
        </is>
      </c>
      <c r="F3" s="16" t="inlineStr">
        <is>
          <t>Hoa Hồng Override</t>
        </is>
      </c>
      <c r="G3" s="16" t="inlineStr">
        <is>
          <t>Escrow Giải Ngân</t>
        </is>
      </c>
      <c r="H3" s="16" t="inlineStr">
        <is>
          <t>Tổng Gross</t>
        </is>
      </c>
      <c r="I3" s="16" t="inlineStr">
        <is>
          <t>Thuế TNCN</t>
        </is>
      </c>
      <c r="J3" s="16" t="inlineStr">
        <is>
          <t>Lương Net</t>
        </is>
      </c>
      <c r="K3" s="16" t="inlineStr">
        <is>
          <t>Tổng Chi Phí Cty</t>
        </is>
      </c>
    </row>
    <row r="4">
      <c r="A4" s="17" t="inlineStr">
        <is>
          <t>2024-10</t>
        </is>
      </c>
      <c r="B4" s="10" t="n">
        <v>8886754993</v>
      </c>
      <c r="C4" s="10" t="n">
        <v>1050000000</v>
      </c>
      <c r="D4" s="10" t="n">
        <v>184000000</v>
      </c>
      <c r="E4" s="10" t="n">
        <v>150108750</v>
      </c>
      <c r="F4" s="10" t="n">
        <v>499789743</v>
      </c>
      <c r="G4" s="10" t="n">
        <v>0</v>
      </c>
      <c r="H4" s="10" t="n">
        <v>1883898493</v>
      </c>
      <c r="I4" s="10" t="n">
        <v>442360644</v>
      </c>
      <c r="J4" s="10" t="n">
        <v>1378051849</v>
      </c>
      <c r="K4" s="10" t="n">
        <v>2045160493</v>
      </c>
    </row>
    <row r="5">
      <c r="A5" s="17" t="inlineStr">
        <is>
          <t>2024-11</t>
        </is>
      </c>
      <c r="B5" s="13" t="n">
        <v>9535537370</v>
      </c>
      <c r="C5" s="13" t="n">
        <v>1050000000</v>
      </c>
      <c r="D5" s="13" t="n">
        <v>184000000</v>
      </c>
      <c r="E5" s="13" t="n">
        <v>145500000</v>
      </c>
      <c r="F5" s="13" t="n">
        <v>522522282</v>
      </c>
      <c r="G5" s="13" t="n">
        <v>0</v>
      </c>
      <c r="H5" s="13" t="n">
        <v>1902022282</v>
      </c>
      <c r="I5" s="13" t="n">
        <v>448574614</v>
      </c>
      <c r="J5" s="13" t="n">
        <v>1389961668</v>
      </c>
      <c r="K5" s="13" t="n">
        <v>2063284282</v>
      </c>
    </row>
    <row r="6">
      <c r="A6" s="17" t="inlineStr">
        <is>
          <t>2024-12</t>
        </is>
      </c>
      <c r="B6" s="10" t="n">
        <v>10227360836</v>
      </c>
      <c r="C6" s="10" t="n">
        <v>1050000000</v>
      </c>
      <c r="D6" s="10" t="n">
        <v>184000000</v>
      </c>
      <c r="E6" s="10" t="n">
        <v>148091250</v>
      </c>
      <c r="F6" s="10" t="n">
        <v>591534592</v>
      </c>
      <c r="G6" s="10" t="n">
        <v>104000000</v>
      </c>
      <c r="H6" s="10" t="n">
        <v>2077625842</v>
      </c>
      <c r="I6" s="10" t="n">
        <v>509899315</v>
      </c>
      <c r="J6" s="10" t="n">
        <v>1504240527</v>
      </c>
      <c r="K6" s="10" t="n">
        <v>2238887842</v>
      </c>
    </row>
    <row r="7">
      <c r="A7" s="17" t="inlineStr">
        <is>
          <t>2025-01</t>
        </is>
      </c>
      <c r="B7" s="13" t="n">
        <v>5413717745</v>
      </c>
      <c r="C7" s="13" t="n">
        <v>1050000000</v>
      </c>
      <c r="D7" s="13" t="n">
        <v>184000000</v>
      </c>
      <c r="E7" s="13" t="n">
        <v>146156250</v>
      </c>
      <c r="F7" s="13" t="n">
        <v>330106383</v>
      </c>
      <c r="G7" s="13" t="n">
        <v>129459382</v>
      </c>
      <c r="H7" s="13" t="n">
        <v>1839722015</v>
      </c>
      <c r="I7" s="13" t="n">
        <v>426813919</v>
      </c>
      <c r="J7" s="13" t="n">
        <v>1349422096</v>
      </c>
      <c r="K7" s="13" t="n">
        <v>2000984015</v>
      </c>
    </row>
    <row r="8">
      <c r="A8" s="17" t="inlineStr">
        <is>
          <t>2025-02</t>
        </is>
      </c>
      <c r="B8" s="10" t="n">
        <v>5434690386</v>
      </c>
      <c r="C8" s="10" t="n">
        <v>1050000000</v>
      </c>
      <c r="D8" s="10" t="n">
        <v>184000000</v>
      </c>
      <c r="E8" s="10" t="n">
        <v>168333750</v>
      </c>
      <c r="F8" s="10" t="n">
        <v>316488665</v>
      </c>
      <c r="G8" s="10" t="n">
        <v>34343978</v>
      </c>
      <c r="H8" s="10" t="n">
        <v>1753166393</v>
      </c>
      <c r="I8" s="10" t="n">
        <v>396113545</v>
      </c>
      <c r="J8" s="10" t="n">
        <v>1293566848</v>
      </c>
      <c r="K8" s="10" t="n">
        <v>1914428393</v>
      </c>
    </row>
    <row r="9">
      <c r="A9" s="17" t="inlineStr">
        <is>
          <t>2025-03</t>
        </is>
      </c>
      <c r="B9" s="13" t="n">
        <v>6452736422</v>
      </c>
      <c r="C9" s="13" t="n">
        <v>1050000000</v>
      </c>
      <c r="D9" s="13" t="n">
        <v>184000000</v>
      </c>
      <c r="E9" s="13" t="n">
        <v>169012500</v>
      </c>
      <c r="F9" s="13" t="n">
        <v>381516440</v>
      </c>
      <c r="G9" s="13" t="n">
        <v>40242413</v>
      </c>
      <c r="H9" s="13" t="n">
        <v>1824771353</v>
      </c>
      <c r="I9" s="13" t="n">
        <v>421148299</v>
      </c>
      <c r="J9" s="13" t="n">
        <v>1340137054</v>
      </c>
      <c r="K9" s="13" t="n">
        <v>1986033353</v>
      </c>
    </row>
    <row r="10">
      <c r="A10" s="17" t="inlineStr">
        <is>
          <t>2025-04</t>
        </is>
      </c>
      <c r="B10" s="10" t="n">
        <v>8030577021</v>
      </c>
      <c r="C10" s="10" t="n">
        <v>1050000000</v>
      </c>
      <c r="D10" s="10" t="n">
        <v>184000000</v>
      </c>
      <c r="E10" s="10" t="n">
        <v>143621250</v>
      </c>
      <c r="F10" s="10" t="n">
        <v>423655528</v>
      </c>
      <c r="G10" s="10" t="n">
        <v>171896564</v>
      </c>
      <c r="H10" s="10" t="n">
        <v>1973173342</v>
      </c>
      <c r="I10" s="10" t="n">
        <v>473137946</v>
      </c>
      <c r="J10" s="10" t="n">
        <v>1436549396</v>
      </c>
      <c r="K10" s="10" t="n">
        <v>2134435342</v>
      </c>
    </row>
    <row r="11">
      <c r="A11" s="17" t="inlineStr">
        <is>
          <t>2025-05</t>
        </is>
      </c>
      <c r="B11" s="13" t="n">
        <v>8967698637</v>
      </c>
      <c r="C11" s="13" t="n">
        <v>1050000000</v>
      </c>
      <c r="D11" s="13" t="n">
        <v>184000000</v>
      </c>
      <c r="E11" s="13" t="n">
        <v>156435000</v>
      </c>
      <c r="F11" s="13" t="n">
        <v>499027916</v>
      </c>
      <c r="G11" s="13" t="n">
        <v>66203227</v>
      </c>
      <c r="H11" s="13" t="n">
        <v>1955666143</v>
      </c>
      <c r="I11" s="13" t="n">
        <v>467029165</v>
      </c>
      <c r="J11" s="13" t="n">
        <v>1425150978</v>
      </c>
      <c r="K11" s="13" t="n">
        <v>2116928143</v>
      </c>
    </row>
    <row r="12">
      <c r="A12" s="17" t="inlineStr">
        <is>
          <t>2025-06</t>
        </is>
      </c>
      <c r="B12" s="10" t="n">
        <v>8263118061</v>
      </c>
      <c r="C12" s="10" t="n">
        <v>1050000000</v>
      </c>
      <c r="D12" s="10" t="n">
        <v>184000000</v>
      </c>
      <c r="E12" s="10" t="n">
        <v>159772500</v>
      </c>
      <c r="F12" s="10" t="n">
        <v>470325513</v>
      </c>
      <c r="G12" s="10" t="n">
        <v>167223802</v>
      </c>
      <c r="H12" s="10" t="n">
        <v>2031321815</v>
      </c>
      <c r="I12" s="10" t="n">
        <v>493642964</v>
      </c>
      <c r="J12" s="10" t="n">
        <v>1474192851</v>
      </c>
      <c r="K12" s="10" t="n">
        <v>2192583815</v>
      </c>
    </row>
    <row r="13">
      <c r="A13" s="17" t="inlineStr">
        <is>
          <t>2025-07</t>
        </is>
      </c>
      <c r="B13" s="13" t="n">
        <v>11419567706</v>
      </c>
      <c r="C13" s="13" t="n">
        <v>1050000000</v>
      </c>
      <c r="D13" s="13" t="n">
        <v>184000000</v>
      </c>
      <c r="E13" s="13" t="n">
        <v>174873750</v>
      </c>
      <c r="F13" s="13" t="n">
        <v>629817696</v>
      </c>
      <c r="G13" s="13" t="n">
        <v>281125591</v>
      </c>
      <c r="H13" s="13" t="n">
        <v>2319817037</v>
      </c>
      <c r="I13" s="13" t="n">
        <v>594216318</v>
      </c>
      <c r="J13" s="13" t="n">
        <v>1662114719</v>
      </c>
      <c r="K13" s="13" t="n">
        <v>2481079037</v>
      </c>
    </row>
    <row r="14">
      <c r="A14" s="17" t="inlineStr">
        <is>
          <t>2025-08</t>
        </is>
      </c>
      <c r="B14" s="10" t="n">
        <v>11073520294</v>
      </c>
      <c r="C14" s="10" t="n">
        <v>1050000000</v>
      </c>
      <c r="D14" s="10" t="n">
        <v>184000000</v>
      </c>
      <c r="E14" s="10" t="n">
        <v>142196250</v>
      </c>
      <c r="F14" s="10" t="n">
        <v>576230972</v>
      </c>
      <c r="G14" s="10" t="n">
        <v>69610999</v>
      </c>
      <c r="H14" s="10" t="n">
        <v>2022038221</v>
      </c>
      <c r="I14" s="10" t="n">
        <v>490692047</v>
      </c>
      <c r="J14" s="10" t="n">
        <v>1467860174</v>
      </c>
      <c r="K14" s="10" t="n">
        <v>2183300221</v>
      </c>
    </row>
    <row r="15">
      <c r="A15" s="17" t="inlineStr">
        <is>
          <t>2025-09</t>
        </is>
      </c>
      <c r="B15" s="13" t="n">
        <v>10905800015</v>
      </c>
      <c r="C15" s="13" t="n">
        <v>1050000000</v>
      </c>
      <c r="D15" s="13" t="n">
        <v>184000000</v>
      </c>
      <c r="E15" s="13" t="n">
        <v>173966250</v>
      </c>
      <c r="F15" s="13" t="n">
        <v>572240811</v>
      </c>
      <c r="G15" s="13" t="n">
        <v>61835008</v>
      </c>
      <c r="H15" s="13" t="n">
        <v>2042042069</v>
      </c>
      <c r="I15" s="13" t="n">
        <v>497111319</v>
      </c>
      <c r="J15" s="13" t="n">
        <v>1481444750</v>
      </c>
      <c r="K15" s="13" t="n">
        <v>2203304069</v>
      </c>
    </row>
    <row r="16">
      <c r="A16" s="17" t="inlineStr">
        <is>
          <t>2025-10</t>
        </is>
      </c>
      <c r="B16" s="10" t="n">
        <v>10101492695</v>
      </c>
      <c r="C16" s="10" t="n">
        <v>1050000000</v>
      </c>
      <c r="D16" s="10" t="n">
        <v>184000000</v>
      </c>
      <c r="E16" s="10" t="n">
        <v>146711250</v>
      </c>
      <c r="F16" s="10" t="n">
        <v>559681722</v>
      </c>
      <c r="G16" s="10" t="n">
        <v>225136874</v>
      </c>
      <c r="H16" s="10" t="n">
        <v>2165529846</v>
      </c>
      <c r="I16" s="10" t="n">
        <v>540668355</v>
      </c>
      <c r="J16" s="10" t="n">
        <v>1561375491</v>
      </c>
      <c r="K16" s="10" t="n">
        <v>2326791846</v>
      </c>
    </row>
    <row r="17">
      <c r="A17" s="17" t="inlineStr">
        <is>
          <t>2025-11</t>
        </is>
      </c>
      <c r="B17" s="13" t="n">
        <v>10497325133</v>
      </c>
      <c r="C17" s="13" t="n">
        <v>1050000000</v>
      </c>
      <c r="D17" s="13" t="n">
        <v>184000000</v>
      </c>
      <c r="E17" s="13" t="n">
        <v>155835000</v>
      </c>
      <c r="F17" s="13" t="n">
        <v>589594762</v>
      </c>
      <c r="G17" s="13" t="n">
        <v>83016031</v>
      </c>
      <c r="H17" s="13" t="n">
        <v>2062445793</v>
      </c>
      <c r="I17" s="13" t="n">
        <v>504406611</v>
      </c>
      <c r="J17" s="13" t="n">
        <v>1494553182</v>
      </c>
      <c r="K17" s="13" t="n">
        <v>2223707793</v>
      </c>
    </row>
    <row r="18">
      <c r="A18" s="17" t="inlineStr">
        <is>
          <t>2025-12</t>
        </is>
      </c>
      <c r="B18" s="10" t="n">
        <v>11926628676</v>
      </c>
      <c r="C18" s="10" t="n">
        <v>1050000000</v>
      </c>
      <c r="D18" s="10" t="n">
        <v>184000000</v>
      </c>
      <c r="E18" s="10" t="n">
        <v>151398750</v>
      </c>
      <c r="F18" s="10" t="n">
        <v>650069832</v>
      </c>
      <c r="G18" s="10" t="n">
        <v>178533913</v>
      </c>
      <c r="H18" s="10" t="n">
        <v>2214002495</v>
      </c>
      <c r="I18" s="10" t="n">
        <v>557528729</v>
      </c>
      <c r="J18" s="10" t="n">
        <v>1592987766</v>
      </c>
      <c r="K18" s="10" t="n">
        <v>2375264495</v>
      </c>
    </row>
    <row r="19">
      <c r="A19" s="17" t="inlineStr">
        <is>
          <t>2026-01</t>
        </is>
      </c>
      <c r="B19" s="13" t="n">
        <v>7106158592</v>
      </c>
      <c r="C19" s="13" t="n">
        <v>1050000000</v>
      </c>
      <c r="D19" s="13" t="n">
        <v>184000000</v>
      </c>
      <c r="E19" s="13" t="n">
        <v>139721250</v>
      </c>
      <c r="F19" s="13" t="n">
        <v>397108823</v>
      </c>
      <c r="G19" s="13" t="n">
        <v>136477240</v>
      </c>
      <c r="H19" s="13" t="n">
        <v>1907307313</v>
      </c>
      <c r="I19" s="13" t="n">
        <v>450692866</v>
      </c>
      <c r="J19" s="13" t="n">
        <v>1393128447</v>
      </c>
      <c r="K19" s="13" t="n">
        <v>2068569313</v>
      </c>
    </row>
    <row r="20">
      <c r="A20" s="17" t="inlineStr">
        <is>
          <t>2026-02</t>
        </is>
      </c>
      <c r="B20" s="10" t="n">
        <v>6863415390</v>
      </c>
      <c r="C20" s="10" t="n">
        <v>1050000000</v>
      </c>
      <c r="D20" s="10" t="n">
        <v>184000000</v>
      </c>
      <c r="E20" s="10" t="n">
        <v>172620000</v>
      </c>
      <c r="F20" s="10" t="n">
        <v>386057022</v>
      </c>
      <c r="G20" s="10" t="n">
        <v>46582376</v>
      </c>
      <c r="H20" s="10" t="n">
        <v>1839259398</v>
      </c>
      <c r="I20" s="10" t="n">
        <v>426757790</v>
      </c>
      <c r="J20" s="10" t="n">
        <v>1349015608</v>
      </c>
      <c r="K20" s="10" t="n">
        <v>2000521398</v>
      </c>
    </row>
    <row r="21">
      <c r="A21" s="17" t="inlineStr">
        <is>
          <t>2026-03</t>
        </is>
      </c>
      <c r="B21" s="13" t="n">
        <v>7760035109</v>
      </c>
      <c r="C21" s="13" t="n">
        <v>1050000000</v>
      </c>
      <c r="D21" s="13" t="n">
        <v>184000000</v>
      </c>
      <c r="E21" s="13" t="n">
        <v>156637500</v>
      </c>
      <c r="F21" s="13" t="n">
        <v>434042150</v>
      </c>
      <c r="G21" s="13" t="n">
        <v>62256927</v>
      </c>
      <c r="H21" s="13" t="n">
        <v>1886936577</v>
      </c>
      <c r="I21" s="13" t="n">
        <v>443037257</v>
      </c>
      <c r="J21" s="13" t="n">
        <v>1380413320</v>
      </c>
      <c r="K21" s="13" t="n">
        <v>2048198577</v>
      </c>
    </row>
    <row r="22">
      <c r="A22" s="17" t="inlineStr">
        <is>
          <t>2026-04</t>
        </is>
      </c>
      <c r="B22" s="10" t="n">
        <v>9904622323</v>
      </c>
      <c r="C22" s="10" t="n">
        <v>1050000000</v>
      </c>
      <c r="D22" s="10" t="n">
        <v>184000000</v>
      </c>
      <c r="E22" s="10" t="n">
        <v>188763750</v>
      </c>
      <c r="F22" s="10" t="n">
        <v>533501948</v>
      </c>
      <c r="G22" s="10" t="n">
        <v>198273034</v>
      </c>
      <c r="H22" s="10" t="n">
        <v>2154538732</v>
      </c>
      <c r="I22" s="10" t="n">
        <v>536744250</v>
      </c>
      <c r="J22" s="10" t="n">
        <v>1554308482</v>
      </c>
      <c r="K22" s="10" t="n">
        <v>2315800732</v>
      </c>
    </row>
    <row r="23">
      <c r="A23" s="17" t="inlineStr">
        <is>
          <t>2026-05</t>
        </is>
      </c>
      <c r="B23" s="13" t="n">
        <v>9823920389</v>
      </c>
      <c r="C23" s="13" t="n">
        <v>1050000000</v>
      </c>
      <c r="D23" s="13" t="n">
        <v>184000000</v>
      </c>
      <c r="E23" s="13" t="n">
        <v>153082500</v>
      </c>
      <c r="F23" s="13" t="n">
        <v>533765971</v>
      </c>
      <c r="G23" s="13" t="n">
        <v>61893614</v>
      </c>
      <c r="H23" s="13" t="n">
        <v>1982742085</v>
      </c>
      <c r="I23" s="13" t="n">
        <v>476458282</v>
      </c>
      <c r="J23" s="13" t="n">
        <v>1442797803</v>
      </c>
      <c r="K23" s="13" t="n">
        <v>2144004085</v>
      </c>
    </row>
    <row r="24">
      <c r="A24" s="17" t="inlineStr">
        <is>
          <t>2026-06</t>
        </is>
      </c>
      <c r="B24" s="10" t="n">
        <v>10326271993</v>
      </c>
      <c r="C24" s="10" t="n">
        <v>1050000000</v>
      </c>
      <c r="D24" s="10" t="n">
        <v>184000000</v>
      </c>
      <c r="E24" s="10" t="n">
        <v>114281250</v>
      </c>
      <c r="F24" s="10" t="n">
        <v>524679135</v>
      </c>
      <c r="G24" s="10" t="n">
        <v>156220824</v>
      </c>
      <c r="H24" s="10" t="n">
        <v>2029181209</v>
      </c>
      <c r="I24" s="10" t="n">
        <v>493259635</v>
      </c>
      <c r="J24" s="10" t="n">
        <v>1472435574</v>
      </c>
      <c r="K24" s="10" t="n">
        <v>2190443209</v>
      </c>
    </row>
    <row r="25">
      <c r="A25" s="17" t="inlineStr">
        <is>
          <t>2026-07</t>
        </is>
      </c>
      <c r="B25" s="13" t="n">
        <v>12735225208</v>
      </c>
      <c r="C25" s="13" t="n">
        <v>1050000000</v>
      </c>
      <c r="D25" s="13" t="n">
        <v>184000000</v>
      </c>
      <c r="E25" s="13" t="n">
        <v>140718750</v>
      </c>
      <c r="F25" s="13" t="n">
        <v>645235121</v>
      </c>
      <c r="G25" s="13" t="n">
        <v>257818105</v>
      </c>
      <c r="H25" s="13" t="n">
        <v>2277771976</v>
      </c>
      <c r="I25" s="13" t="n">
        <v>580358635</v>
      </c>
      <c r="J25" s="13" t="n">
        <v>1633927341</v>
      </c>
      <c r="K25" s="13" t="n">
        <v>2439033976</v>
      </c>
    </row>
    <row r="26">
      <c r="A26" s="17" t="inlineStr">
        <is>
          <t>2026-08</t>
        </is>
      </c>
      <c r="B26" s="10" t="n">
        <v>12423651366</v>
      </c>
      <c r="C26" s="10" t="n">
        <v>1050000000</v>
      </c>
      <c r="D26" s="10" t="n">
        <v>184000000</v>
      </c>
      <c r="E26" s="10" t="n">
        <v>119103750</v>
      </c>
      <c r="F26" s="10" t="n">
        <v>657241892</v>
      </c>
      <c r="G26" s="10" t="n">
        <v>85357912</v>
      </c>
      <c r="H26" s="10" t="n">
        <v>2095703554</v>
      </c>
      <c r="I26" s="10" t="n">
        <v>516488418</v>
      </c>
      <c r="J26" s="10" t="n">
        <v>1515729136</v>
      </c>
      <c r="K26" s="10" t="n">
        <v>2256965554</v>
      </c>
    </row>
    <row r="27">
      <c r="A27" s="17" t="inlineStr">
        <is>
          <t>2026-09</t>
        </is>
      </c>
      <c r="B27" s="13" t="n">
        <v>12725348972</v>
      </c>
      <c r="C27" s="13" t="n">
        <v>1050000000</v>
      </c>
      <c r="D27" s="13" t="n">
        <v>184000000</v>
      </c>
      <c r="E27" s="13" t="n">
        <v>138337500</v>
      </c>
      <c r="F27" s="13" t="n">
        <v>670688534</v>
      </c>
      <c r="G27" s="13" t="n">
        <v>86571275</v>
      </c>
      <c r="H27" s="13" t="n">
        <v>2129597309</v>
      </c>
      <c r="I27" s="13" t="n">
        <v>528310329</v>
      </c>
      <c r="J27" s="13" t="n">
        <v>1537800980</v>
      </c>
      <c r="K27" s="13" t="n">
        <v>2290859309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53" customWidth="1" min="4" max="4"/>
    <col width="23" customWidth="1" min="5" max="5"/>
    <col width="16" customWidth="1" min="6" max="6"/>
    <col width="15" customWidth="1" min="7" max="7"/>
    <col width="12" customWidth="1" min="8" max="8"/>
    <col width="14" customWidth="1" min="9" max="9"/>
    <col width="21" customWidth="1" min="10" max="10"/>
    <col width="20" customWidth="1" min="11" max="11"/>
    <col width="14" customWidth="1" min="12" max="12"/>
    <col width="12" customWidth="1" min="13" max="13"/>
    <col width="16" customWidth="1" min="14" max="14"/>
    <col width="13" customWidth="1" min="15" max="15"/>
    <col width="13" customWidth="1" min="16" max="16"/>
    <col width="12" customWidth="1" min="17" max="17"/>
    <col width="16" customWidth="1" min="18" max="18"/>
    <col width="19" customWidth="1" min="19" max="19"/>
    <col width="20" customWidth="1" min="20" max="20"/>
  </cols>
  <sheetData>
    <row r="1" ht="26" customHeight="1">
      <c r="A1" s="16" t="inlineStr">
        <is>
          <t>Tháng</t>
        </is>
      </c>
      <c r="B1" s="16" t="inlineStr">
        <is>
          <t>Mã NV</t>
        </is>
      </c>
      <c r="C1" s="16" t="inlineStr">
        <is>
          <t>Họ Tên</t>
        </is>
      </c>
      <c r="D1" s="16" t="inlineStr">
        <is>
          <t>Chức Danh</t>
        </is>
      </c>
      <c r="E1" s="16" t="inlineStr">
        <is>
          <t>Khối Chức Năng</t>
        </is>
      </c>
      <c r="F1" s="16" t="inlineStr">
        <is>
          <t>Lương Cơ Bản</t>
        </is>
      </c>
      <c r="G1" s="16" t="inlineStr">
        <is>
          <t>Phụ Cấp VIP</t>
        </is>
      </c>
      <c r="H1" s="16" t="inlineStr">
        <is>
          <t>Điểm KPI</t>
        </is>
      </c>
      <c r="I1" s="16" t="inlineStr">
        <is>
          <t>Thưởng KPI</t>
        </is>
      </c>
      <c r="J1" s="16" t="inlineStr">
        <is>
          <t>Hoa Hồng Override</t>
        </is>
      </c>
      <c r="K1" s="16" t="inlineStr">
        <is>
          <t>Giải Ngân Escrow</t>
        </is>
      </c>
      <c r="L1" s="16" t="inlineStr">
        <is>
          <t>Tổng Gross</t>
        </is>
      </c>
      <c r="M1" s="16" t="inlineStr">
        <is>
          <t>BHXH NLĐ</t>
        </is>
      </c>
      <c r="N1" s="16" t="inlineStr">
        <is>
          <t>TN Tính Thuế</t>
        </is>
      </c>
      <c r="O1" s="16" t="inlineStr">
        <is>
          <t>Thuế TNCN</t>
        </is>
      </c>
      <c r="P1" s="16" t="inlineStr">
        <is>
          <t>Lương Net</t>
        </is>
      </c>
      <c r="Q1" s="16" t="inlineStr">
        <is>
          <t>BHXH Cty</t>
        </is>
      </c>
      <c r="R1" s="16" t="inlineStr">
        <is>
          <t>Phúc Lợi VIP</t>
        </is>
      </c>
      <c r="S1" s="16" t="inlineStr">
        <is>
          <t>Tổng Chi Phí DN</t>
        </is>
      </c>
      <c r="T1" s="16" t="inlineStr">
        <is>
          <t>Doanh Thu Đem Về</t>
        </is>
      </c>
    </row>
    <row r="2">
      <c r="A2" s="17" t="inlineStr">
        <is>
          <t>2024-10</t>
        </is>
      </c>
      <c r="B2" s="17" t="inlineStr">
        <is>
          <t>EMP001</t>
        </is>
      </c>
      <c r="C2" s="18" t="inlineStr">
        <is>
          <t>Nguyễn Quốc Hùng</t>
        </is>
      </c>
      <c r="D2" s="18" t="inlineStr">
        <is>
          <t>Tổng Giám Đốc (Managing Director / CEO)</t>
        </is>
      </c>
      <c r="E2" s="17" t="inlineStr">
        <is>
          <t>Điều Hành Chung</t>
        </is>
      </c>
      <c r="F2" s="10" t="n">
        <v>130000000</v>
      </c>
      <c r="G2" s="10" t="n">
        <v>25000000</v>
      </c>
      <c r="H2" s="19" t="n">
        <v>110.8</v>
      </c>
      <c r="I2" s="10" t="n">
        <v>30030000</v>
      </c>
      <c r="J2" s="10" t="n">
        <v>71094040</v>
      </c>
      <c r="K2" s="10" t="n">
        <v>0</v>
      </c>
      <c r="L2" s="10" t="n">
        <v>256124040</v>
      </c>
      <c r="M2" s="10" t="n">
        <v>5438000</v>
      </c>
      <c r="N2" s="10" t="n">
        <v>228886040</v>
      </c>
      <c r="O2" s="10" t="n">
        <v>70260114</v>
      </c>
      <c r="P2" s="10" t="n">
        <v>180425926</v>
      </c>
      <c r="Q2" s="10" t="n">
        <v>10586000</v>
      </c>
      <c r="R2" s="10" t="n">
        <v>3000000</v>
      </c>
      <c r="S2" s="10" t="n">
        <v>269710040</v>
      </c>
      <c r="T2" s="10" t="n">
        <v>8886754993</v>
      </c>
    </row>
    <row r="3">
      <c r="A3" s="17" t="inlineStr">
        <is>
          <t>2024-10</t>
        </is>
      </c>
      <c r="B3" s="17" t="inlineStr">
        <is>
          <t>EMP002</t>
        </is>
      </c>
      <c r="C3" s="18" t="inlineStr">
        <is>
          <t>Trần Minh Tuấn</t>
        </is>
      </c>
      <c r="D3" s="18" t="inlineStr">
        <is>
          <t>Phó TGĐ Kinh Doanh (Deputy CEO &amp; Head of BD)</t>
        </is>
      </c>
      <c r="E3" s="17" t="inlineStr">
        <is>
          <t>Thương Mại &amp; BD</t>
        </is>
      </c>
      <c r="F3" s="13" t="n">
        <v>105000000</v>
      </c>
      <c r="G3" s="13" t="n">
        <v>20000000</v>
      </c>
      <c r="H3" s="20" t="n">
        <v>105.6</v>
      </c>
      <c r="I3" s="13" t="n">
        <v>20160000</v>
      </c>
      <c r="J3" s="13" t="n">
        <v>81667316</v>
      </c>
      <c r="K3" s="13" t="n">
        <v>0</v>
      </c>
      <c r="L3" s="13" t="n">
        <v>226827316</v>
      </c>
      <c r="M3" s="13" t="n">
        <v>5438000</v>
      </c>
      <c r="N3" s="13" t="n">
        <v>199589316</v>
      </c>
      <c r="O3" s="13" t="n">
        <v>60006261</v>
      </c>
      <c r="P3" s="13" t="n">
        <v>161383055</v>
      </c>
      <c r="Q3" s="13" t="n">
        <v>10586000</v>
      </c>
      <c r="R3" s="13" t="n">
        <v>3000000</v>
      </c>
      <c r="S3" s="13" t="n">
        <v>240413316</v>
      </c>
      <c r="T3" s="13" t="n">
        <v>5776390745</v>
      </c>
    </row>
    <row r="4">
      <c r="A4" s="17" t="inlineStr">
        <is>
          <t>2024-10</t>
        </is>
      </c>
      <c r="B4" s="17" t="inlineStr">
        <is>
          <t>EMP003</t>
        </is>
      </c>
      <c r="C4" s="18" t="inlineStr">
        <is>
          <t>LS. Lê Hoàng Nam</t>
        </is>
      </c>
      <c r="D4" s="18" t="inlineStr">
        <is>
          <t>Giám Đốc Pháp Lý &amp; Thụ Lý Hồ Sơ (Legal Director)</t>
        </is>
      </c>
      <c r="E4" s="17" t="inlineStr">
        <is>
          <t>Pháp Lý Di Trú</t>
        </is>
      </c>
      <c r="F4" s="10" t="n">
        <v>95000000</v>
      </c>
      <c r="G4" s="10" t="n">
        <v>15000000</v>
      </c>
      <c r="H4" s="19" t="n">
        <v>91.7</v>
      </c>
      <c r="I4" s="10" t="n">
        <v>8336250</v>
      </c>
      <c r="J4" s="10" t="n">
        <v>31267029</v>
      </c>
      <c r="K4" s="10" t="n">
        <v>0</v>
      </c>
      <c r="L4" s="10" t="n">
        <v>149603279</v>
      </c>
      <c r="M4" s="10" t="n">
        <v>5396000</v>
      </c>
      <c r="N4" s="10" t="n">
        <v>126807279</v>
      </c>
      <c r="O4" s="10" t="n">
        <v>34532548</v>
      </c>
      <c r="P4" s="10" t="n">
        <v>109674731</v>
      </c>
      <c r="Q4" s="10" t="n">
        <v>10544000</v>
      </c>
      <c r="R4" s="10" t="n">
        <v>3000000</v>
      </c>
      <c r="S4" s="10" t="n">
        <v>163147279</v>
      </c>
      <c r="T4" s="10" t="n">
        <v>0</v>
      </c>
    </row>
    <row r="5">
      <c r="A5" s="17" t="inlineStr">
        <is>
          <t>2024-10</t>
        </is>
      </c>
      <c r="B5" s="17" t="inlineStr">
        <is>
          <t>EMP004</t>
        </is>
      </c>
      <c r="C5" s="18" t="inlineStr">
        <is>
          <t>Phạm Thanh Hà</t>
        </is>
      </c>
      <c r="D5" s="18" t="inlineStr">
        <is>
          <t>Giám Đốc Thẩm Định Đầu Tư (Investment DD Director)</t>
        </is>
      </c>
      <c r="E5" s="17" t="inlineStr">
        <is>
          <t>Đầu Tư &amp; Thẩm Định</t>
        </is>
      </c>
      <c r="F5" s="13" t="n">
        <v>90000000</v>
      </c>
      <c r="G5" s="13" t="n">
        <v>15000000</v>
      </c>
      <c r="H5" s="20" t="n">
        <v>89.40000000000001</v>
      </c>
      <c r="I5" s="13" t="n">
        <v>6345000</v>
      </c>
      <c r="J5" s="13" t="n">
        <v>42388227</v>
      </c>
      <c r="K5" s="13" t="n">
        <v>0</v>
      </c>
      <c r="L5" s="13" t="n">
        <v>153733227</v>
      </c>
      <c r="M5" s="13" t="n">
        <v>5346000</v>
      </c>
      <c r="N5" s="13" t="n">
        <v>130987227</v>
      </c>
      <c r="O5" s="13" t="n">
        <v>35995529</v>
      </c>
      <c r="P5" s="13" t="n">
        <v>112391698</v>
      </c>
      <c r="Q5" s="13" t="n">
        <v>10494000</v>
      </c>
      <c r="R5" s="13" t="n">
        <v>3000000</v>
      </c>
      <c r="S5" s="13" t="n">
        <v>167227227</v>
      </c>
      <c r="T5" s="13" t="n">
        <v>0</v>
      </c>
    </row>
    <row r="6">
      <c r="A6" s="17" t="inlineStr">
        <is>
          <t>2024-10</t>
        </is>
      </c>
      <c r="B6" s="17" t="inlineStr">
        <is>
          <t>EMP005</t>
        </is>
      </c>
      <c r="C6" s="18" t="inlineStr">
        <is>
          <t>Vũ Hải Đăng</t>
        </is>
      </c>
      <c r="D6" s="18" t="inlineStr">
        <is>
          <t>Giám Đốc Khách Hàng VIP (Private Clients Director)</t>
        </is>
      </c>
      <c r="E6" s="17" t="inlineStr">
        <is>
          <t>Thương Mại &amp; BD</t>
        </is>
      </c>
      <c r="F6" s="10" t="n">
        <v>85000000</v>
      </c>
      <c r="G6" s="10" t="n">
        <v>20000000</v>
      </c>
      <c r="H6" s="19" t="n">
        <v>102.4</v>
      </c>
      <c r="I6" s="10" t="n">
        <v>14280000</v>
      </c>
      <c r="J6" s="10" t="n">
        <v>70706092</v>
      </c>
      <c r="K6" s="10" t="n">
        <v>0</v>
      </c>
      <c r="L6" s="10" t="n">
        <v>189986092</v>
      </c>
      <c r="M6" s="10" t="n">
        <v>5296000</v>
      </c>
      <c r="N6" s="10" t="n">
        <v>167290092</v>
      </c>
      <c r="O6" s="10" t="n">
        <v>48701532</v>
      </c>
      <c r="P6" s="10" t="n">
        <v>135988560</v>
      </c>
      <c r="Q6" s="10" t="n">
        <v>10444000</v>
      </c>
      <c r="R6" s="10" t="n">
        <v>3000000</v>
      </c>
      <c r="S6" s="10" t="n">
        <v>203430092</v>
      </c>
      <c r="T6" s="10" t="n">
        <v>3110364248</v>
      </c>
    </row>
    <row r="7">
      <c r="A7" s="17" t="inlineStr">
        <is>
          <t>2024-10</t>
        </is>
      </c>
      <c r="B7" s="17" t="inlineStr">
        <is>
          <t>EMP006</t>
        </is>
      </c>
      <c r="C7" s="18" t="inlineStr">
        <is>
          <t>Đỗ Phương Thảo</t>
        </is>
      </c>
      <c r="D7" s="18" t="inlineStr">
        <is>
          <t>Giám Đốc Marketing &amp; Thương Hiệu (CMO)</t>
        </is>
      </c>
      <c r="E7" s="17" t="inlineStr">
        <is>
          <t>Tiếp Thị &amp; Brand</t>
        </is>
      </c>
      <c r="F7" s="13" t="n">
        <v>80000000</v>
      </c>
      <c r="G7" s="13" t="n">
        <v>12000000</v>
      </c>
      <c r="H7" s="20" t="n">
        <v>88.5</v>
      </c>
      <c r="I7" s="13" t="n">
        <v>5100000</v>
      </c>
      <c r="J7" s="13" t="n">
        <v>17262990</v>
      </c>
      <c r="K7" s="13" t="n">
        <v>0</v>
      </c>
      <c r="L7" s="13" t="n">
        <v>114362990</v>
      </c>
      <c r="M7" s="13" t="n">
        <v>5246000</v>
      </c>
      <c r="N7" s="13" t="n">
        <v>96116990</v>
      </c>
      <c r="O7" s="13" t="n">
        <v>23790946</v>
      </c>
      <c r="P7" s="13" t="n">
        <v>85326044</v>
      </c>
      <c r="Q7" s="13" t="n">
        <v>10394000</v>
      </c>
      <c r="R7" s="13" t="n">
        <v>3000000</v>
      </c>
      <c r="S7" s="13" t="n">
        <v>127756990</v>
      </c>
      <c r="T7" s="13" t="n">
        <v>0</v>
      </c>
    </row>
    <row r="8">
      <c r="A8" s="17" t="inlineStr">
        <is>
          <t>2024-10</t>
        </is>
      </c>
      <c r="B8" s="17" t="inlineStr">
        <is>
          <t>EMP007</t>
        </is>
      </c>
      <c r="C8" s="18" t="inlineStr">
        <is>
          <t>Hoàng Gia Bách</t>
        </is>
      </c>
      <c r="D8" s="18" t="inlineStr">
        <is>
          <t>Giám Đốc Chi Nhánh Hà Nội (Northern Regional Dir.)</t>
        </is>
      </c>
      <c r="E8" s="17" t="inlineStr">
        <is>
          <t>Khối Chi Nhánh</t>
        </is>
      </c>
      <c r="F8" s="10" t="n">
        <v>85000000</v>
      </c>
      <c r="G8" s="10" t="n">
        <v>15000000</v>
      </c>
      <c r="H8" s="19" t="n">
        <v>108</v>
      </c>
      <c r="I8" s="10" t="n">
        <v>17850000</v>
      </c>
      <c r="J8" s="10" t="n">
        <v>51200442</v>
      </c>
      <c r="K8" s="10" t="n">
        <v>0</v>
      </c>
      <c r="L8" s="10" t="n">
        <v>169050442</v>
      </c>
      <c r="M8" s="10" t="n">
        <v>5296000</v>
      </c>
      <c r="N8" s="10" t="n">
        <v>141954442</v>
      </c>
      <c r="O8" s="10" t="n">
        <v>39834055</v>
      </c>
      <c r="P8" s="10" t="n">
        <v>123920387</v>
      </c>
      <c r="Q8" s="10" t="n">
        <v>10444000</v>
      </c>
      <c r="R8" s="10" t="n">
        <v>3000000</v>
      </c>
      <c r="S8" s="10" t="n">
        <v>182494442</v>
      </c>
      <c r="T8" s="10" t="n">
        <v>3376966897</v>
      </c>
    </row>
    <row r="9">
      <c r="A9" s="17" t="inlineStr">
        <is>
          <t>2024-10</t>
        </is>
      </c>
      <c r="B9" s="17" t="inlineStr">
        <is>
          <t>EMP008</t>
        </is>
      </c>
      <c r="C9" s="18" t="inlineStr">
        <is>
          <t>Ngô Thị Bích Ngọc</t>
        </is>
      </c>
      <c r="D9" s="18" t="inlineStr">
        <is>
          <t>Giám Đốc Chi Nhánh TP.HCM (Southern Regional Dir.)</t>
        </is>
      </c>
      <c r="E9" s="17" t="inlineStr">
        <is>
          <t>Khối Chi Nhánh</t>
        </is>
      </c>
      <c r="F9" s="13" t="n">
        <v>90000000</v>
      </c>
      <c r="G9" s="13" t="n">
        <v>15000000</v>
      </c>
      <c r="H9" s="20" t="n">
        <v>92.40000000000001</v>
      </c>
      <c r="I9" s="13" t="n">
        <v>8370000</v>
      </c>
      <c r="J9" s="13" t="n">
        <v>66089505</v>
      </c>
      <c r="K9" s="13" t="n">
        <v>0</v>
      </c>
      <c r="L9" s="13" t="n">
        <v>179459505</v>
      </c>
      <c r="M9" s="13" t="n">
        <v>5346000</v>
      </c>
      <c r="N9" s="13" t="n">
        <v>156713505</v>
      </c>
      <c r="O9" s="13" t="n">
        <v>44999727</v>
      </c>
      <c r="P9" s="13" t="n">
        <v>129113778</v>
      </c>
      <c r="Q9" s="13" t="n">
        <v>10494000</v>
      </c>
      <c r="R9" s="13" t="n">
        <v>3000000</v>
      </c>
      <c r="S9" s="13" t="n">
        <v>192953505</v>
      </c>
      <c r="T9" s="13" t="n">
        <v>4265642397</v>
      </c>
    </row>
    <row r="10">
      <c r="A10" s="17" t="inlineStr">
        <is>
          <t>2024-10</t>
        </is>
      </c>
      <c r="B10" s="17" t="inlineStr">
        <is>
          <t>EMP009</t>
        </is>
      </c>
      <c r="C10" s="18" t="inlineStr">
        <is>
          <t>Trịnh Minh Trí</t>
        </is>
      </c>
      <c r="D10" s="18" t="inlineStr">
        <is>
          <t>Trưởng Ban Đối Ngoại &amp; Lãnh Sự (Head of Consular)</t>
        </is>
      </c>
      <c r="E10" s="17" t="inlineStr">
        <is>
          <t>Đối Ngoại Lãnh Sự</t>
        </is>
      </c>
      <c r="F10" s="10" t="n">
        <v>70000000</v>
      </c>
      <c r="G10" s="10" t="n">
        <v>15000000</v>
      </c>
      <c r="H10" s="19" t="n">
        <v>95.3</v>
      </c>
      <c r="I10" s="10" t="n">
        <v>8032500</v>
      </c>
      <c r="J10" s="10" t="n">
        <v>42772401</v>
      </c>
      <c r="K10" s="10" t="n">
        <v>0</v>
      </c>
      <c r="L10" s="10" t="n">
        <v>135804901</v>
      </c>
      <c r="M10" s="10" t="n">
        <v>5146000</v>
      </c>
      <c r="N10" s="10" t="n">
        <v>113258901</v>
      </c>
      <c r="O10" s="10" t="n">
        <v>29790615</v>
      </c>
      <c r="P10" s="10" t="n">
        <v>100868286</v>
      </c>
      <c r="Q10" s="10" t="n">
        <v>10294000</v>
      </c>
      <c r="R10" s="10" t="n">
        <v>3000000</v>
      </c>
      <c r="S10" s="10" t="n">
        <v>149098901</v>
      </c>
      <c r="T10" s="10" t="n">
        <v>0</v>
      </c>
    </row>
    <row r="11">
      <c r="A11" s="17" t="inlineStr">
        <is>
          <t>2024-10</t>
        </is>
      </c>
      <c r="B11" s="17" t="inlineStr">
        <is>
          <t>EMP010</t>
        </is>
      </c>
      <c r="C11" s="18" t="inlineStr">
        <is>
          <t>Bùi Thanh Mai</t>
        </is>
      </c>
      <c r="D11" s="18" t="inlineStr">
        <is>
          <t>Trưởng Ban An Cư (Head of Settlement Operations)</t>
        </is>
      </c>
      <c r="E11" s="17" t="inlineStr">
        <is>
          <t>Vận Hành An Cư</t>
        </is>
      </c>
      <c r="F11" s="13" t="n">
        <v>65000000</v>
      </c>
      <c r="G11" s="13" t="n">
        <v>10000000</v>
      </c>
      <c r="H11" s="20" t="n">
        <v>98.40000000000001</v>
      </c>
      <c r="I11" s="13" t="n">
        <v>8970000</v>
      </c>
      <c r="J11" s="13" t="n">
        <v>7850185</v>
      </c>
      <c r="K11" s="13" t="n">
        <v>0</v>
      </c>
      <c r="L11" s="13" t="n">
        <v>91820185</v>
      </c>
      <c r="M11" s="13" t="n">
        <v>5096000</v>
      </c>
      <c r="N11" s="13" t="n">
        <v>69324185</v>
      </c>
      <c r="O11" s="13" t="n">
        <v>14947256</v>
      </c>
      <c r="P11" s="13" t="n">
        <v>71776929</v>
      </c>
      <c r="Q11" s="13" t="n">
        <v>10244000</v>
      </c>
      <c r="R11" s="13" t="n">
        <v>3000000</v>
      </c>
      <c r="S11" s="13" t="n">
        <v>105064185</v>
      </c>
      <c r="T11" s="13" t="n">
        <v>0</v>
      </c>
    </row>
    <row r="12">
      <c r="A12" s="17" t="inlineStr">
        <is>
          <t>2024-10</t>
        </is>
      </c>
      <c r="B12" s="17" t="inlineStr">
        <is>
          <t>EMP011</t>
        </is>
      </c>
      <c r="C12" s="18" t="inlineStr">
        <is>
          <t>Đặng Văn Lâm</t>
        </is>
      </c>
      <c r="D12" s="18" t="inlineStr">
        <is>
          <t>Giám Đốc Tài Chính Quốc Tế (CFO)</t>
        </is>
      </c>
      <c r="E12" s="17" t="inlineStr">
        <is>
          <t>Tài Chính &amp; Kế Toán</t>
        </is>
      </c>
      <c r="F12" s="10" t="n">
        <v>90000000</v>
      </c>
      <c r="G12" s="10" t="n">
        <v>12000000</v>
      </c>
      <c r="H12" s="19" t="n">
        <v>102.7</v>
      </c>
      <c r="I12" s="10" t="n">
        <v>15322500</v>
      </c>
      <c r="J12" s="10" t="n">
        <v>8957623</v>
      </c>
      <c r="K12" s="10" t="n">
        <v>0</v>
      </c>
      <c r="L12" s="10" t="n">
        <v>126280123</v>
      </c>
      <c r="M12" s="10" t="n">
        <v>5346000</v>
      </c>
      <c r="N12" s="10" t="n">
        <v>99134123</v>
      </c>
      <c r="O12" s="10" t="n">
        <v>24846943</v>
      </c>
      <c r="P12" s="10" t="n">
        <v>96087180</v>
      </c>
      <c r="Q12" s="10" t="n">
        <v>10494000</v>
      </c>
      <c r="R12" s="10" t="n">
        <v>3000000</v>
      </c>
      <c r="S12" s="10" t="n">
        <v>139774123</v>
      </c>
      <c r="T12" s="10" t="n">
        <v>0</v>
      </c>
    </row>
    <row r="13">
      <c r="A13" s="17" t="inlineStr">
        <is>
          <t>2024-10</t>
        </is>
      </c>
      <c r="B13" s="17" t="inlineStr">
        <is>
          <t>EMP012</t>
        </is>
      </c>
      <c r="C13" s="18" t="inlineStr">
        <is>
          <t>Võ Quỳnh Trang</t>
        </is>
      </c>
      <c r="D13" s="18" t="inlineStr">
        <is>
          <t>Giám Đốc Nhân Sự &amp; Tuân Thủ (HR &amp; Compliance Dir.)</t>
        </is>
      </c>
      <c r="E13" s="17" t="inlineStr">
        <is>
          <t>Nhân Sự &amp; Quản Trị</t>
        </is>
      </c>
      <c r="F13" s="13" t="n">
        <v>65000000</v>
      </c>
      <c r="G13" s="13" t="n">
        <v>10000000</v>
      </c>
      <c r="H13" s="20" t="n">
        <v>95</v>
      </c>
      <c r="I13" s="13" t="n">
        <v>7312500</v>
      </c>
      <c r="J13" s="13" t="n">
        <v>8533893</v>
      </c>
      <c r="K13" s="13" t="n">
        <v>0</v>
      </c>
      <c r="L13" s="13" t="n">
        <v>90846393</v>
      </c>
      <c r="M13" s="13" t="n">
        <v>5096000</v>
      </c>
      <c r="N13" s="13" t="n">
        <v>68350393</v>
      </c>
      <c r="O13" s="13" t="n">
        <v>14655118</v>
      </c>
      <c r="P13" s="13" t="n">
        <v>71095275</v>
      </c>
      <c r="Q13" s="13" t="n">
        <v>10244000</v>
      </c>
      <c r="R13" s="13" t="n">
        <v>3000000</v>
      </c>
      <c r="S13" s="13" t="n">
        <v>104090393</v>
      </c>
      <c r="T13" s="13" t="n">
        <v>0</v>
      </c>
    </row>
    <row r="14">
      <c r="A14" s="17" t="inlineStr">
        <is>
          <t>2024-11</t>
        </is>
      </c>
      <c r="B14" s="17" t="inlineStr">
        <is>
          <t>EMP001</t>
        </is>
      </c>
      <c r="C14" s="18" t="inlineStr">
        <is>
          <t>Nguyễn Quốc Hùng</t>
        </is>
      </c>
      <c r="D14" s="18" t="inlineStr">
        <is>
          <t>Tổng Giám Đốc (Managing Director / CEO)</t>
        </is>
      </c>
      <c r="E14" s="17" t="inlineStr">
        <is>
          <t>Điều Hành Chung</t>
        </is>
      </c>
      <c r="F14" s="10" t="n">
        <v>130000000</v>
      </c>
      <c r="G14" s="10" t="n">
        <v>25000000</v>
      </c>
      <c r="H14" s="19" t="n">
        <v>106.8</v>
      </c>
      <c r="I14" s="10" t="n">
        <v>26130000</v>
      </c>
      <c r="J14" s="10" t="n">
        <v>76284299</v>
      </c>
      <c r="K14" s="10" t="n">
        <v>0</v>
      </c>
      <c r="L14" s="10" t="n">
        <v>257414299</v>
      </c>
      <c r="M14" s="10" t="n">
        <v>5438000</v>
      </c>
      <c r="N14" s="10" t="n">
        <v>230176299</v>
      </c>
      <c r="O14" s="10" t="n">
        <v>70711705</v>
      </c>
      <c r="P14" s="10" t="n">
        <v>181264594</v>
      </c>
      <c r="Q14" s="10" t="n">
        <v>10586000</v>
      </c>
      <c r="R14" s="10" t="n">
        <v>3000000</v>
      </c>
      <c r="S14" s="10" t="n">
        <v>271000299</v>
      </c>
      <c r="T14" s="10" t="n">
        <v>9535537370</v>
      </c>
    </row>
    <row r="15">
      <c r="A15" s="17" t="inlineStr">
        <is>
          <t>2024-11</t>
        </is>
      </c>
      <c r="B15" s="17" t="inlineStr">
        <is>
          <t>EMP002</t>
        </is>
      </c>
      <c r="C15" s="18" t="inlineStr">
        <is>
          <t>Trần Minh Tuấn</t>
        </is>
      </c>
      <c r="D15" s="18" t="inlineStr">
        <is>
          <t>Phó TGĐ Kinh Doanh (Deputy CEO &amp; Head of BD)</t>
        </is>
      </c>
      <c r="E15" s="17" t="inlineStr">
        <is>
          <t>Thương Mại &amp; BD</t>
        </is>
      </c>
      <c r="F15" s="13" t="n">
        <v>105000000</v>
      </c>
      <c r="G15" s="13" t="n">
        <v>20000000</v>
      </c>
      <c r="H15" s="20" t="n">
        <v>92.8</v>
      </c>
      <c r="I15" s="13" t="n">
        <v>10080000</v>
      </c>
      <c r="J15" s="13" t="n">
        <v>86896907</v>
      </c>
      <c r="K15" s="13" t="n">
        <v>0</v>
      </c>
      <c r="L15" s="13" t="n">
        <v>221976907</v>
      </c>
      <c r="M15" s="13" t="n">
        <v>5438000</v>
      </c>
      <c r="N15" s="13" t="n">
        <v>194738907</v>
      </c>
      <c r="O15" s="13" t="n">
        <v>58308617</v>
      </c>
      <c r="P15" s="13" t="n">
        <v>158230290</v>
      </c>
      <c r="Q15" s="13" t="n">
        <v>10586000</v>
      </c>
      <c r="R15" s="13" t="n">
        <v>3000000</v>
      </c>
      <c r="S15" s="13" t="n">
        <v>235562907</v>
      </c>
      <c r="T15" s="13" t="n">
        <v>6198099290</v>
      </c>
    </row>
    <row r="16">
      <c r="A16" s="17" t="inlineStr">
        <is>
          <t>2024-11</t>
        </is>
      </c>
      <c r="B16" s="17" t="inlineStr">
        <is>
          <t>EMP003</t>
        </is>
      </c>
      <c r="C16" s="18" t="inlineStr">
        <is>
          <t>LS. Lê Hoàng Nam</t>
        </is>
      </c>
      <c r="D16" s="18" t="inlineStr">
        <is>
          <t>Giám Đốc Pháp Lý &amp; Thụ Lý Hồ Sơ (Legal Director)</t>
        </is>
      </c>
      <c r="E16" s="17" t="inlineStr">
        <is>
          <t>Pháp Lý Di Trú</t>
        </is>
      </c>
      <c r="F16" s="10" t="n">
        <v>95000000</v>
      </c>
      <c r="G16" s="10" t="n">
        <v>15000000</v>
      </c>
      <c r="H16" s="19" t="n">
        <v>102.2</v>
      </c>
      <c r="I16" s="10" t="n">
        <v>15817500</v>
      </c>
      <c r="J16" s="10" t="n">
        <v>29009638</v>
      </c>
      <c r="K16" s="10" t="n">
        <v>0</v>
      </c>
      <c r="L16" s="10" t="n">
        <v>154827138</v>
      </c>
      <c r="M16" s="10" t="n">
        <v>5396000</v>
      </c>
      <c r="N16" s="10" t="n">
        <v>132031138</v>
      </c>
      <c r="O16" s="10" t="n">
        <v>36360898</v>
      </c>
      <c r="P16" s="10" t="n">
        <v>113070240</v>
      </c>
      <c r="Q16" s="10" t="n">
        <v>10544000</v>
      </c>
      <c r="R16" s="10" t="n">
        <v>3000000</v>
      </c>
      <c r="S16" s="10" t="n">
        <v>168371138</v>
      </c>
      <c r="T16" s="10" t="n">
        <v>0</v>
      </c>
    </row>
    <row r="17">
      <c r="A17" s="17" t="inlineStr">
        <is>
          <t>2024-11</t>
        </is>
      </c>
      <c r="B17" s="17" t="inlineStr">
        <is>
          <t>EMP004</t>
        </is>
      </c>
      <c r="C17" s="18" t="inlineStr">
        <is>
          <t>Phạm Thanh Hà</t>
        </is>
      </c>
      <c r="D17" s="18" t="inlineStr">
        <is>
          <t>Giám Đốc Thẩm Định Đầu Tư (Investment DD Director)</t>
        </is>
      </c>
      <c r="E17" s="17" t="inlineStr">
        <is>
          <t>Đầu Tư &amp; Thẩm Định</t>
        </is>
      </c>
      <c r="F17" s="13" t="n">
        <v>90000000</v>
      </c>
      <c r="G17" s="13" t="n">
        <v>15000000</v>
      </c>
      <c r="H17" s="20" t="n">
        <v>102.6</v>
      </c>
      <c r="I17" s="13" t="n">
        <v>15255000</v>
      </c>
      <c r="J17" s="13" t="n">
        <v>26763103</v>
      </c>
      <c r="K17" s="13" t="n">
        <v>0</v>
      </c>
      <c r="L17" s="13" t="n">
        <v>147018103</v>
      </c>
      <c r="M17" s="13" t="n">
        <v>5346000</v>
      </c>
      <c r="N17" s="13" t="n">
        <v>124272103</v>
      </c>
      <c r="O17" s="13" t="n">
        <v>33645236</v>
      </c>
      <c r="P17" s="13" t="n">
        <v>108026867</v>
      </c>
      <c r="Q17" s="13" t="n">
        <v>10494000</v>
      </c>
      <c r="R17" s="13" t="n">
        <v>3000000</v>
      </c>
      <c r="S17" s="13" t="n">
        <v>160512103</v>
      </c>
      <c r="T17" s="13" t="n">
        <v>0</v>
      </c>
    </row>
    <row r="18">
      <c r="A18" s="17" t="inlineStr">
        <is>
          <t>2024-11</t>
        </is>
      </c>
      <c r="B18" s="17" t="inlineStr">
        <is>
          <t>EMP005</t>
        </is>
      </c>
      <c r="C18" s="18" t="inlineStr">
        <is>
          <t>Vũ Hải Đăng</t>
        </is>
      </c>
      <c r="D18" s="18" t="inlineStr">
        <is>
          <t>Giám Đốc Khách Hàng VIP (Private Clients Director)</t>
        </is>
      </c>
      <c r="E18" s="17" t="inlineStr">
        <is>
          <t>Thương Mại &amp; BD</t>
        </is>
      </c>
      <c r="F18" s="10" t="n">
        <v>85000000</v>
      </c>
      <c r="G18" s="10" t="n">
        <v>20000000</v>
      </c>
      <c r="H18" s="19" t="n">
        <v>89.59999999999999</v>
      </c>
      <c r="I18" s="10" t="n">
        <v>6120000</v>
      </c>
      <c r="J18" s="10" t="n">
        <v>78697047</v>
      </c>
      <c r="K18" s="10" t="n">
        <v>0</v>
      </c>
      <c r="L18" s="10" t="n">
        <v>189817047</v>
      </c>
      <c r="M18" s="10" t="n">
        <v>5296000</v>
      </c>
      <c r="N18" s="10" t="n">
        <v>167121047</v>
      </c>
      <c r="O18" s="10" t="n">
        <v>48642366</v>
      </c>
      <c r="P18" s="10" t="n">
        <v>135878681</v>
      </c>
      <c r="Q18" s="10" t="n">
        <v>10444000</v>
      </c>
      <c r="R18" s="10" t="n">
        <v>3000000</v>
      </c>
      <c r="S18" s="10" t="n">
        <v>203261047</v>
      </c>
      <c r="T18" s="10" t="n">
        <v>3337438080</v>
      </c>
    </row>
    <row r="19">
      <c r="A19" s="17" t="inlineStr">
        <is>
          <t>2024-11</t>
        </is>
      </c>
      <c r="B19" s="17" t="inlineStr">
        <is>
          <t>EMP006</t>
        </is>
      </c>
      <c r="C19" s="18" t="inlineStr">
        <is>
          <t>Đỗ Phương Thảo</t>
        </is>
      </c>
      <c r="D19" s="18" t="inlineStr">
        <is>
          <t>Giám Đốc Marketing &amp; Thương Hiệu (CMO)</t>
        </is>
      </c>
      <c r="E19" s="17" t="inlineStr">
        <is>
          <t>Tiếp Thị &amp; Brand</t>
        </is>
      </c>
      <c r="F19" s="13" t="n">
        <v>80000000</v>
      </c>
      <c r="G19" s="13" t="n">
        <v>12000000</v>
      </c>
      <c r="H19" s="20" t="n">
        <v>111.2</v>
      </c>
      <c r="I19" s="13" t="n">
        <v>18720000</v>
      </c>
      <c r="J19" s="13" t="n">
        <v>15454050</v>
      </c>
      <c r="K19" s="13" t="n">
        <v>0</v>
      </c>
      <c r="L19" s="13" t="n">
        <v>126174050</v>
      </c>
      <c r="M19" s="13" t="n">
        <v>5246000</v>
      </c>
      <c r="N19" s="13" t="n">
        <v>107928050</v>
      </c>
      <c r="O19" s="13" t="n">
        <v>27924818</v>
      </c>
      <c r="P19" s="13" t="n">
        <v>93003232</v>
      </c>
      <c r="Q19" s="13" t="n">
        <v>10394000</v>
      </c>
      <c r="R19" s="13" t="n">
        <v>3000000</v>
      </c>
      <c r="S19" s="13" t="n">
        <v>139568050</v>
      </c>
      <c r="T19" s="13" t="n">
        <v>0</v>
      </c>
    </row>
    <row r="20">
      <c r="A20" s="17" t="inlineStr">
        <is>
          <t>2024-11</t>
        </is>
      </c>
      <c r="B20" s="17" t="inlineStr">
        <is>
          <t>EMP007</t>
        </is>
      </c>
      <c r="C20" s="18" t="inlineStr">
        <is>
          <t>Hoàng Gia Bách</t>
        </is>
      </c>
      <c r="D20" s="18" t="inlineStr">
        <is>
          <t>Giám Đốc Chi Nhánh Hà Nội (Northern Regional Dir.)</t>
        </is>
      </c>
      <c r="E20" s="17" t="inlineStr">
        <is>
          <t>Khối Chi Nhánh</t>
        </is>
      </c>
      <c r="F20" s="10" t="n">
        <v>85000000</v>
      </c>
      <c r="G20" s="10" t="n">
        <v>15000000</v>
      </c>
      <c r="H20" s="19" t="n">
        <v>95.3</v>
      </c>
      <c r="I20" s="10" t="n">
        <v>9753750</v>
      </c>
      <c r="J20" s="10" t="n">
        <v>54074126</v>
      </c>
      <c r="K20" s="10" t="n">
        <v>0</v>
      </c>
      <c r="L20" s="10" t="n">
        <v>163827876</v>
      </c>
      <c r="M20" s="10" t="n">
        <v>5296000</v>
      </c>
      <c r="N20" s="10" t="n">
        <v>136731876</v>
      </c>
      <c r="O20" s="10" t="n">
        <v>38006157</v>
      </c>
      <c r="P20" s="10" t="n">
        <v>120525719</v>
      </c>
      <c r="Q20" s="10" t="n">
        <v>10444000</v>
      </c>
      <c r="R20" s="10" t="n">
        <v>3000000</v>
      </c>
      <c r="S20" s="10" t="n">
        <v>177271876</v>
      </c>
      <c r="T20" s="10" t="n">
        <v>3623504201</v>
      </c>
    </row>
    <row r="21">
      <c r="A21" s="17" t="inlineStr">
        <is>
          <t>2024-11</t>
        </is>
      </c>
      <c r="B21" s="17" t="inlineStr">
        <is>
          <t>EMP008</t>
        </is>
      </c>
      <c r="C21" s="18" t="inlineStr">
        <is>
          <t>Ngô Thị Bích Ngọc</t>
        </is>
      </c>
      <c r="D21" s="18" t="inlineStr">
        <is>
          <t>Giám Đốc Chi Nhánh TP.HCM (Southern Regional Dir.)</t>
        </is>
      </c>
      <c r="E21" s="17" t="inlineStr">
        <is>
          <t>Khối Chi Nhánh</t>
        </is>
      </c>
      <c r="F21" s="13" t="n">
        <v>90000000</v>
      </c>
      <c r="G21" s="13" t="n">
        <v>15000000</v>
      </c>
      <c r="H21" s="20" t="n">
        <v>104.4</v>
      </c>
      <c r="I21" s="13" t="n">
        <v>16470000</v>
      </c>
      <c r="J21" s="13" t="n">
        <v>72794646</v>
      </c>
      <c r="K21" s="13" t="n">
        <v>0</v>
      </c>
      <c r="L21" s="13" t="n">
        <v>194264646</v>
      </c>
      <c r="M21" s="13" t="n">
        <v>5346000</v>
      </c>
      <c r="N21" s="13" t="n">
        <v>171518646</v>
      </c>
      <c r="O21" s="13" t="n">
        <v>50181526</v>
      </c>
      <c r="P21" s="13" t="n">
        <v>138737120</v>
      </c>
      <c r="Q21" s="13" t="n">
        <v>10494000</v>
      </c>
      <c r="R21" s="13" t="n">
        <v>3000000</v>
      </c>
      <c r="S21" s="13" t="n">
        <v>207758646</v>
      </c>
      <c r="T21" s="13" t="n">
        <v>4577057938</v>
      </c>
    </row>
    <row r="22">
      <c r="A22" s="17" t="inlineStr">
        <is>
          <t>2024-11</t>
        </is>
      </c>
      <c r="B22" s="17" t="inlineStr">
        <is>
          <t>EMP009</t>
        </is>
      </c>
      <c r="C22" s="18" t="inlineStr">
        <is>
          <t>Trịnh Minh Trí</t>
        </is>
      </c>
      <c r="D22" s="18" t="inlineStr">
        <is>
          <t>Trưởng Ban Đối Ngoại &amp; Lãnh Sự (Head of Consular)</t>
        </is>
      </c>
      <c r="E22" s="17" t="inlineStr">
        <is>
          <t>Đối Ngoại Lãnh Sự</t>
        </is>
      </c>
      <c r="F22" s="10" t="n">
        <v>70000000</v>
      </c>
      <c r="G22" s="10" t="n">
        <v>15000000</v>
      </c>
      <c r="H22" s="19" t="n">
        <v>90.90000000000001</v>
      </c>
      <c r="I22" s="10" t="n">
        <v>5722500</v>
      </c>
      <c r="J22" s="10" t="n">
        <v>43593250</v>
      </c>
      <c r="K22" s="10" t="n">
        <v>0</v>
      </c>
      <c r="L22" s="10" t="n">
        <v>134315750</v>
      </c>
      <c r="M22" s="10" t="n">
        <v>5146000</v>
      </c>
      <c r="N22" s="10" t="n">
        <v>111769750</v>
      </c>
      <c r="O22" s="10" t="n">
        <v>29269412</v>
      </c>
      <c r="P22" s="10" t="n">
        <v>99900338</v>
      </c>
      <c r="Q22" s="10" t="n">
        <v>10294000</v>
      </c>
      <c r="R22" s="10" t="n">
        <v>3000000</v>
      </c>
      <c r="S22" s="10" t="n">
        <v>147609750</v>
      </c>
      <c r="T22" s="10" t="n">
        <v>0</v>
      </c>
    </row>
    <row r="23">
      <c r="A23" s="17" t="inlineStr">
        <is>
          <t>2024-11</t>
        </is>
      </c>
      <c r="B23" s="17" t="inlineStr">
        <is>
          <t>EMP010</t>
        </is>
      </c>
      <c r="C23" s="18" t="inlineStr">
        <is>
          <t>Bùi Thanh Mai</t>
        </is>
      </c>
      <c r="D23" s="18" t="inlineStr">
        <is>
          <t>Trưởng Ban An Cư (Head of Settlement Operations)</t>
        </is>
      </c>
      <c r="E23" s="17" t="inlineStr">
        <is>
          <t>Vận Hành An Cư</t>
        </is>
      </c>
      <c r="F23" s="13" t="n">
        <v>65000000</v>
      </c>
      <c r="G23" s="13" t="n">
        <v>10000000</v>
      </c>
      <c r="H23" s="20" t="n">
        <v>88.8</v>
      </c>
      <c r="I23" s="13" t="n">
        <v>4290000</v>
      </c>
      <c r="J23" s="13" t="n">
        <v>13474816</v>
      </c>
      <c r="K23" s="13" t="n">
        <v>0</v>
      </c>
      <c r="L23" s="13" t="n">
        <v>92764816</v>
      </c>
      <c r="M23" s="13" t="n">
        <v>5096000</v>
      </c>
      <c r="N23" s="13" t="n">
        <v>70268816</v>
      </c>
      <c r="O23" s="13" t="n">
        <v>15230645</v>
      </c>
      <c r="P23" s="13" t="n">
        <v>72438171</v>
      </c>
      <c r="Q23" s="13" t="n">
        <v>10244000</v>
      </c>
      <c r="R23" s="13" t="n">
        <v>3000000</v>
      </c>
      <c r="S23" s="13" t="n">
        <v>106008816</v>
      </c>
      <c r="T23" s="13" t="n">
        <v>0</v>
      </c>
    </row>
    <row r="24">
      <c r="A24" s="17" t="inlineStr">
        <is>
          <t>2024-11</t>
        </is>
      </c>
      <c r="B24" s="17" t="inlineStr">
        <is>
          <t>EMP011</t>
        </is>
      </c>
      <c r="C24" s="18" t="inlineStr">
        <is>
          <t>Đặng Văn Lâm</t>
        </is>
      </c>
      <c r="D24" s="18" t="inlineStr">
        <is>
          <t>Giám Đốc Tài Chính Quốc Tế (CFO)</t>
        </is>
      </c>
      <c r="E24" s="17" t="inlineStr">
        <is>
          <t>Tài Chính &amp; Kế Toán</t>
        </is>
      </c>
      <c r="F24" s="10" t="n">
        <v>90000000</v>
      </c>
      <c r="G24" s="10" t="n">
        <v>12000000</v>
      </c>
      <c r="H24" s="19" t="n">
        <v>94.2</v>
      </c>
      <c r="I24" s="10" t="n">
        <v>9585000</v>
      </c>
      <c r="J24" s="10" t="n">
        <v>15547781</v>
      </c>
      <c r="K24" s="10" t="n">
        <v>0</v>
      </c>
      <c r="L24" s="10" t="n">
        <v>127132781</v>
      </c>
      <c r="M24" s="10" t="n">
        <v>5346000</v>
      </c>
      <c r="N24" s="10" t="n">
        <v>99986781</v>
      </c>
      <c r="O24" s="10" t="n">
        <v>25145373</v>
      </c>
      <c r="P24" s="10" t="n">
        <v>96641408</v>
      </c>
      <c r="Q24" s="10" t="n">
        <v>10494000</v>
      </c>
      <c r="R24" s="10" t="n">
        <v>3000000</v>
      </c>
      <c r="S24" s="10" t="n">
        <v>140626781</v>
      </c>
      <c r="T24" s="10" t="n">
        <v>0</v>
      </c>
    </row>
    <row r="25">
      <c r="A25" s="17" t="inlineStr">
        <is>
          <t>2024-11</t>
        </is>
      </c>
      <c r="B25" s="17" t="inlineStr">
        <is>
          <t>EMP012</t>
        </is>
      </c>
      <c r="C25" s="18" t="inlineStr">
        <is>
          <t>Võ Quỳnh Trang</t>
        </is>
      </c>
      <c r="D25" s="18" t="inlineStr">
        <is>
          <t>Giám Đốc Nhân Sự &amp; Tuân Thủ (HR &amp; Compliance Dir.)</t>
        </is>
      </c>
      <c r="E25" s="17" t="inlineStr">
        <is>
          <t>Nhân Sự &amp; Quản Trị</t>
        </is>
      </c>
      <c r="F25" s="13" t="n">
        <v>65000000</v>
      </c>
      <c r="G25" s="13" t="n">
        <v>10000000</v>
      </c>
      <c r="H25" s="20" t="n">
        <v>95.5</v>
      </c>
      <c r="I25" s="13" t="n">
        <v>7556250</v>
      </c>
      <c r="J25" s="13" t="n">
        <v>9932619</v>
      </c>
      <c r="K25" s="13" t="n">
        <v>0</v>
      </c>
      <c r="L25" s="13" t="n">
        <v>92488869</v>
      </c>
      <c r="M25" s="13" t="n">
        <v>5096000</v>
      </c>
      <c r="N25" s="13" t="n">
        <v>69992869</v>
      </c>
      <c r="O25" s="13" t="n">
        <v>15147861</v>
      </c>
      <c r="P25" s="13" t="n">
        <v>72245008</v>
      </c>
      <c r="Q25" s="13" t="n">
        <v>10244000</v>
      </c>
      <c r="R25" s="13" t="n">
        <v>3000000</v>
      </c>
      <c r="S25" s="13" t="n">
        <v>105732869</v>
      </c>
      <c r="T25" s="13" t="n">
        <v>0</v>
      </c>
    </row>
    <row r="26">
      <c r="A26" s="17" t="inlineStr">
        <is>
          <t>2024-12</t>
        </is>
      </c>
      <c r="B26" s="17" t="inlineStr">
        <is>
          <t>EMP001</t>
        </is>
      </c>
      <c r="C26" s="18" t="inlineStr">
        <is>
          <t>Nguyễn Quốc Hùng</t>
        </is>
      </c>
      <c r="D26" s="18" t="inlineStr">
        <is>
          <t>Tổng Giám Đốc (Managing Director / CEO)</t>
        </is>
      </c>
      <c r="E26" s="17" t="inlineStr">
        <is>
          <t>Điều Hành Chung</t>
        </is>
      </c>
      <c r="F26" s="10" t="n">
        <v>130000000</v>
      </c>
      <c r="G26" s="10" t="n">
        <v>25000000</v>
      </c>
      <c r="H26" s="19" t="n">
        <v>92.40000000000001</v>
      </c>
      <c r="I26" s="10" t="n">
        <v>12090000</v>
      </c>
      <c r="J26" s="10" t="n">
        <v>81818887</v>
      </c>
      <c r="K26" s="10" t="n">
        <v>104000000</v>
      </c>
      <c r="L26" s="10" t="n">
        <v>352908887</v>
      </c>
      <c r="M26" s="10" t="n">
        <v>5438000</v>
      </c>
      <c r="N26" s="10" t="n">
        <v>325670887</v>
      </c>
      <c r="O26" s="10" t="n">
        <v>104134810</v>
      </c>
      <c r="P26" s="10" t="n">
        <v>243336077</v>
      </c>
      <c r="Q26" s="10" t="n">
        <v>10586000</v>
      </c>
      <c r="R26" s="10" t="n">
        <v>3000000</v>
      </c>
      <c r="S26" s="10" t="n">
        <v>366494887</v>
      </c>
      <c r="T26" s="10" t="n">
        <v>10227360836</v>
      </c>
    </row>
    <row r="27">
      <c r="A27" s="17" t="inlineStr">
        <is>
          <t>2024-12</t>
        </is>
      </c>
      <c r="B27" s="17" t="inlineStr">
        <is>
          <t>EMP002</t>
        </is>
      </c>
      <c r="C27" s="18" t="inlineStr">
        <is>
          <t>Trần Minh Tuấn</t>
        </is>
      </c>
      <c r="D27" s="18" t="inlineStr">
        <is>
          <t>Phó TGĐ Kinh Doanh (Deputy CEO &amp; Head of BD)</t>
        </is>
      </c>
      <c r="E27" s="17" t="inlineStr">
        <is>
          <t>Thương Mại &amp; BD</t>
        </is>
      </c>
      <c r="F27" s="13" t="n">
        <v>105000000</v>
      </c>
      <c r="G27" s="13" t="n">
        <v>20000000</v>
      </c>
      <c r="H27" s="20" t="n">
        <v>111.3</v>
      </c>
      <c r="I27" s="13" t="n">
        <v>24648750</v>
      </c>
      <c r="J27" s="13" t="n">
        <v>95629617</v>
      </c>
      <c r="K27" s="13" t="n">
        <v>0</v>
      </c>
      <c r="L27" s="13" t="n">
        <v>245278367</v>
      </c>
      <c r="M27" s="13" t="n">
        <v>5438000</v>
      </c>
      <c r="N27" s="13" t="n">
        <v>218040367</v>
      </c>
      <c r="O27" s="13" t="n">
        <v>66464128</v>
      </c>
      <c r="P27" s="13" t="n">
        <v>173376239</v>
      </c>
      <c r="Q27" s="13" t="n">
        <v>10586000</v>
      </c>
      <c r="R27" s="13" t="n">
        <v>3000000</v>
      </c>
      <c r="S27" s="13" t="n">
        <v>258864367</v>
      </c>
      <c r="T27" s="13" t="n">
        <v>6647784543</v>
      </c>
    </row>
    <row r="28">
      <c r="A28" s="17" t="inlineStr">
        <is>
          <t>2024-12</t>
        </is>
      </c>
      <c r="B28" s="17" t="inlineStr">
        <is>
          <t>EMP003</t>
        </is>
      </c>
      <c r="C28" s="18" t="inlineStr">
        <is>
          <t>LS. Lê Hoàng Nam</t>
        </is>
      </c>
      <c r="D28" s="18" t="inlineStr">
        <is>
          <t>Giám Đốc Pháp Lý &amp; Thụ Lý Hồ Sơ (Legal Director)</t>
        </is>
      </c>
      <c r="E28" s="17" t="inlineStr">
        <is>
          <t>Pháp Lý Di Trú</t>
        </is>
      </c>
      <c r="F28" s="10" t="n">
        <v>95000000</v>
      </c>
      <c r="G28" s="10" t="n">
        <v>15000000</v>
      </c>
      <c r="H28" s="19" t="n">
        <v>110.5</v>
      </c>
      <c r="I28" s="10" t="n">
        <v>21731250</v>
      </c>
      <c r="J28" s="10" t="n">
        <v>58845164</v>
      </c>
      <c r="K28" s="10" t="n">
        <v>0</v>
      </c>
      <c r="L28" s="10" t="n">
        <v>190576414</v>
      </c>
      <c r="M28" s="10" t="n">
        <v>5396000</v>
      </c>
      <c r="N28" s="10" t="n">
        <v>167780414</v>
      </c>
      <c r="O28" s="10" t="n">
        <v>48873145</v>
      </c>
      <c r="P28" s="10" t="n">
        <v>136307269</v>
      </c>
      <c r="Q28" s="10" t="n">
        <v>10544000</v>
      </c>
      <c r="R28" s="10" t="n">
        <v>3000000</v>
      </c>
      <c r="S28" s="10" t="n">
        <v>204120414</v>
      </c>
      <c r="T28" s="10" t="n">
        <v>0</v>
      </c>
    </row>
    <row r="29">
      <c r="A29" s="17" t="inlineStr">
        <is>
          <t>2024-12</t>
        </is>
      </c>
      <c r="B29" s="17" t="inlineStr">
        <is>
          <t>EMP004</t>
        </is>
      </c>
      <c r="C29" s="18" t="inlineStr">
        <is>
          <t>Phạm Thanh Hà</t>
        </is>
      </c>
      <c r="D29" s="18" t="inlineStr">
        <is>
          <t>Giám Đốc Thẩm Định Đầu Tư (Investment DD Director)</t>
        </is>
      </c>
      <c r="E29" s="17" t="inlineStr">
        <is>
          <t>Đầu Tư &amp; Thẩm Định</t>
        </is>
      </c>
      <c r="F29" s="13" t="n">
        <v>90000000</v>
      </c>
      <c r="G29" s="13" t="n">
        <v>15000000</v>
      </c>
      <c r="H29" s="20" t="n">
        <v>102.3</v>
      </c>
      <c r="I29" s="13" t="n">
        <v>15052500</v>
      </c>
      <c r="J29" s="13" t="n">
        <v>47368730</v>
      </c>
      <c r="K29" s="13" t="n">
        <v>0</v>
      </c>
      <c r="L29" s="13" t="n">
        <v>167421230</v>
      </c>
      <c r="M29" s="13" t="n">
        <v>5346000</v>
      </c>
      <c r="N29" s="13" t="n">
        <v>144675230</v>
      </c>
      <c r="O29" s="13" t="n">
        <v>40786330</v>
      </c>
      <c r="P29" s="13" t="n">
        <v>121288900</v>
      </c>
      <c r="Q29" s="13" t="n">
        <v>10494000</v>
      </c>
      <c r="R29" s="13" t="n">
        <v>3000000</v>
      </c>
      <c r="S29" s="13" t="n">
        <v>180915230</v>
      </c>
      <c r="T29" s="13" t="n">
        <v>0</v>
      </c>
    </row>
    <row r="30">
      <c r="A30" s="17" t="inlineStr">
        <is>
          <t>2024-12</t>
        </is>
      </c>
      <c r="B30" s="17" t="inlineStr">
        <is>
          <t>EMP005</t>
        </is>
      </c>
      <c r="C30" s="18" t="inlineStr">
        <is>
          <t>Vũ Hải Đăng</t>
        </is>
      </c>
      <c r="D30" s="18" t="inlineStr">
        <is>
          <t>Giám Đốc Khách Hàng VIP (Private Clients Director)</t>
        </is>
      </c>
      <c r="E30" s="17" t="inlineStr">
        <is>
          <t>Thương Mại &amp; BD</t>
        </is>
      </c>
      <c r="F30" s="10" t="n">
        <v>85000000</v>
      </c>
      <c r="G30" s="10" t="n">
        <v>20000000</v>
      </c>
      <c r="H30" s="19" t="n">
        <v>90.09999999999999</v>
      </c>
      <c r="I30" s="10" t="n">
        <v>6438750</v>
      </c>
      <c r="J30" s="10" t="n">
        <v>74920030</v>
      </c>
      <c r="K30" s="10" t="n">
        <v>0</v>
      </c>
      <c r="L30" s="10" t="n">
        <v>186358780</v>
      </c>
      <c r="M30" s="10" t="n">
        <v>5296000</v>
      </c>
      <c r="N30" s="10" t="n">
        <v>163662780</v>
      </c>
      <c r="O30" s="10" t="n">
        <v>47431973</v>
      </c>
      <c r="P30" s="10" t="n">
        <v>133630807</v>
      </c>
      <c r="Q30" s="10" t="n">
        <v>10444000</v>
      </c>
      <c r="R30" s="10" t="n">
        <v>3000000</v>
      </c>
      <c r="S30" s="10" t="n">
        <v>199802780</v>
      </c>
      <c r="T30" s="10" t="n">
        <v>3579576293</v>
      </c>
    </row>
    <row r="31">
      <c r="A31" s="17" t="inlineStr">
        <is>
          <t>2024-12</t>
        </is>
      </c>
      <c r="B31" s="17" t="inlineStr">
        <is>
          <t>EMP006</t>
        </is>
      </c>
      <c r="C31" s="18" t="inlineStr">
        <is>
          <t>Đỗ Phương Thảo</t>
        </is>
      </c>
      <c r="D31" s="18" t="inlineStr">
        <is>
          <t>Giám Đốc Marketing &amp; Thương Hiệu (CMO)</t>
        </is>
      </c>
      <c r="E31" s="17" t="inlineStr">
        <is>
          <t>Tiếp Thị &amp; Brand</t>
        </is>
      </c>
      <c r="F31" s="13" t="n">
        <v>80000000</v>
      </c>
      <c r="G31" s="13" t="n">
        <v>12000000</v>
      </c>
      <c r="H31" s="20" t="n">
        <v>89.09999999999999</v>
      </c>
      <c r="I31" s="13" t="n">
        <v>5460000</v>
      </c>
      <c r="J31" s="13" t="n">
        <v>10043700</v>
      </c>
      <c r="K31" s="13" t="n">
        <v>0</v>
      </c>
      <c r="L31" s="13" t="n">
        <v>107503700</v>
      </c>
      <c r="M31" s="13" t="n">
        <v>5246000</v>
      </c>
      <c r="N31" s="13" t="n">
        <v>89257700</v>
      </c>
      <c r="O31" s="13" t="n">
        <v>21390195</v>
      </c>
      <c r="P31" s="13" t="n">
        <v>80867505</v>
      </c>
      <c r="Q31" s="13" t="n">
        <v>10394000</v>
      </c>
      <c r="R31" s="13" t="n">
        <v>3000000</v>
      </c>
      <c r="S31" s="13" t="n">
        <v>120897700</v>
      </c>
      <c r="T31" s="13" t="n">
        <v>0</v>
      </c>
    </row>
    <row r="32">
      <c r="A32" s="17" t="inlineStr">
        <is>
          <t>2024-12</t>
        </is>
      </c>
      <c r="B32" s="17" t="inlineStr">
        <is>
          <t>EMP007</t>
        </is>
      </c>
      <c r="C32" s="18" t="inlineStr">
        <is>
          <t>Hoàng Gia Bách</t>
        </is>
      </c>
      <c r="D32" s="18" t="inlineStr">
        <is>
          <t>Giám Đốc Chi Nhánh Hà Nội (Northern Regional Dir.)</t>
        </is>
      </c>
      <c r="E32" s="17" t="inlineStr">
        <is>
          <t>Khối Chi Nhánh</t>
        </is>
      </c>
      <c r="F32" s="10" t="n">
        <v>85000000</v>
      </c>
      <c r="G32" s="10" t="n">
        <v>15000000</v>
      </c>
      <c r="H32" s="19" t="n">
        <v>97.3</v>
      </c>
      <c r="I32" s="10" t="n">
        <v>11028750</v>
      </c>
      <c r="J32" s="10" t="n">
        <v>59401271</v>
      </c>
      <c r="K32" s="10" t="n">
        <v>0</v>
      </c>
      <c r="L32" s="10" t="n">
        <v>170430021</v>
      </c>
      <c r="M32" s="10" t="n">
        <v>5296000</v>
      </c>
      <c r="N32" s="10" t="n">
        <v>143334021</v>
      </c>
      <c r="O32" s="10" t="n">
        <v>40316907</v>
      </c>
      <c r="P32" s="10" t="n">
        <v>124817114</v>
      </c>
      <c r="Q32" s="10" t="n">
        <v>10444000</v>
      </c>
      <c r="R32" s="10" t="n">
        <v>3000000</v>
      </c>
      <c r="S32" s="10" t="n">
        <v>183874021</v>
      </c>
      <c r="T32" s="10" t="n">
        <v>3886397118</v>
      </c>
    </row>
    <row r="33">
      <c r="A33" s="17" t="inlineStr">
        <is>
          <t>2024-12</t>
        </is>
      </c>
      <c r="B33" s="17" t="inlineStr">
        <is>
          <t>EMP008</t>
        </is>
      </c>
      <c r="C33" s="18" t="inlineStr">
        <is>
          <t>Ngô Thị Bích Ngọc</t>
        </is>
      </c>
      <c r="D33" s="18" t="inlineStr">
        <is>
          <t>Giám Đốc Chi Nhánh TP.HCM (Southern Regional Dir.)</t>
        </is>
      </c>
      <c r="E33" s="17" t="inlineStr">
        <is>
          <t>Khối Chi Nhánh</t>
        </is>
      </c>
      <c r="F33" s="13" t="n">
        <v>90000000</v>
      </c>
      <c r="G33" s="13" t="n">
        <v>15000000</v>
      </c>
      <c r="H33" s="20" t="n">
        <v>107.9</v>
      </c>
      <c r="I33" s="13" t="n">
        <v>18832500</v>
      </c>
      <c r="J33" s="13" t="n">
        <v>77420984</v>
      </c>
      <c r="K33" s="13" t="n">
        <v>0</v>
      </c>
      <c r="L33" s="13" t="n">
        <v>201253484</v>
      </c>
      <c r="M33" s="13" t="n">
        <v>5346000</v>
      </c>
      <c r="N33" s="13" t="n">
        <v>178507484</v>
      </c>
      <c r="O33" s="13" t="n">
        <v>52627619</v>
      </c>
      <c r="P33" s="13" t="n">
        <v>143279865</v>
      </c>
      <c r="Q33" s="13" t="n">
        <v>10494000</v>
      </c>
      <c r="R33" s="13" t="n">
        <v>3000000</v>
      </c>
      <c r="S33" s="13" t="n">
        <v>214747484</v>
      </c>
      <c r="T33" s="13" t="n">
        <v>4909133201</v>
      </c>
    </row>
    <row r="34">
      <c r="A34" s="17" t="inlineStr">
        <is>
          <t>2024-12</t>
        </is>
      </c>
      <c r="B34" s="17" t="inlineStr">
        <is>
          <t>EMP009</t>
        </is>
      </c>
      <c r="C34" s="18" t="inlineStr">
        <is>
          <t>Trịnh Minh Trí</t>
        </is>
      </c>
      <c r="D34" s="18" t="inlineStr">
        <is>
          <t>Trưởng Ban Đối Ngoại &amp; Lãnh Sự (Head of Consular)</t>
        </is>
      </c>
      <c r="E34" s="17" t="inlineStr">
        <is>
          <t>Đối Ngoại Lãnh Sự</t>
        </is>
      </c>
      <c r="F34" s="10" t="n">
        <v>70000000</v>
      </c>
      <c r="G34" s="10" t="n">
        <v>15000000</v>
      </c>
      <c r="H34" s="19" t="n">
        <v>94.7</v>
      </c>
      <c r="I34" s="10" t="n">
        <v>7717500</v>
      </c>
      <c r="J34" s="10" t="n">
        <v>46943128</v>
      </c>
      <c r="K34" s="10" t="n">
        <v>0</v>
      </c>
      <c r="L34" s="10" t="n">
        <v>139660628</v>
      </c>
      <c r="M34" s="10" t="n">
        <v>5146000</v>
      </c>
      <c r="N34" s="10" t="n">
        <v>117114628</v>
      </c>
      <c r="O34" s="10" t="n">
        <v>31140120</v>
      </c>
      <c r="P34" s="10" t="n">
        <v>103374508</v>
      </c>
      <c r="Q34" s="10" t="n">
        <v>10294000</v>
      </c>
      <c r="R34" s="10" t="n">
        <v>3000000</v>
      </c>
      <c r="S34" s="10" t="n">
        <v>152954628</v>
      </c>
      <c r="T34" s="10" t="n">
        <v>0</v>
      </c>
    </row>
    <row r="35">
      <c r="A35" s="17" t="inlineStr">
        <is>
          <t>2024-12</t>
        </is>
      </c>
      <c r="B35" s="17" t="inlineStr">
        <is>
          <t>EMP010</t>
        </is>
      </c>
      <c r="C35" s="18" t="inlineStr">
        <is>
          <t>Bùi Thanh Mai</t>
        </is>
      </c>
      <c r="D35" s="18" t="inlineStr">
        <is>
          <t>Trưởng Ban An Cư (Head of Settlement Operations)</t>
        </is>
      </c>
      <c r="E35" s="17" t="inlineStr">
        <is>
          <t>Vận Hành An Cư</t>
        </is>
      </c>
      <c r="F35" s="13" t="n">
        <v>65000000</v>
      </c>
      <c r="G35" s="13" t="n">
        <v>10000000</v>
      </c>
      <c r="H35" s="20" t="n">
        <v>91.40000000000001</v>
      </c>
      <c r="I35" s="13" t="n">
        <v>5557500</v>
      </c>
      <c r="J35" s="13" t="n">
        <v>12499993</v>
      </c>
      <c r="K35" s="13" t="n">
        <v>0</v>
      </c>
      <c r="L35" s="13" t="n">
        <v>93057493</v>
      </c>
      <c r="M35" s="13" t="n">
        <v>5096000</v>
      </c>
      <c r="N35" s="13" t="n">
        <v>70561493</v>
      </c>
      <c r="O35" s="13" t="n">
        <v>15318448</v>
      </c>
      <c r="P35" s="13" t="n">
        <v>72643045</v>
      </c>
      <c r="Q35" s="13" t="n">
        <v>10244000</v>
      </c>
      <c r="R35" s="13" t="n">
        <v>3000000</v>
      </c>
      <c r="S35" s="13" t="n">
        <v>106301493</v>
      </c>
      <c r="T35" s="13" t="n">
        <v>0</v>
      </c>
    </row>
    <row r="36">
      <c r="A36" s="17" t="inlineStr">
        <is>
          <t>2024-12</t>
        </is>
      </c>
      <c r="B36" s="17" t="inlineStr">
        <is>
          <t>EMP011</t>
        </is>
      </c>
      <c r="C36" s="18" t="inlineStr">
        <is>
          <t>Đặng Văn Lâm</t>
        </is>
      </c>
      <c r="D36" s="18" t="inlineStr">
        <is>
          <t>Giám Đốc Tài Chính Quốc Tế (CFO)</t>
        </is>
      </c>
      <c r="E36" s="17" t="inlineStr">
        <is>
          <t>Tài Chính &amp; Kế Toán</t>
        </is>
      </c>
      <c r="F36" s="10" t="n">
        <v>90000000</v>
      </c>
      <c r="G36" s="10" t="n">
        <v>12000000</v>
      </c>
      <c r="H36" s="19" t="n">
        <v>89.8</v>
      </c>
      <c r="I36" s="10" t="n">
        <v>6615000</v>
      </c>
      <c r="J36" s="10" t="n">
        <v>19634775</v>
      </c>
      <c r="K36" s="10" t="n">
        <v>0</v>
      </c>
      <c r="L36" s="10" t="n">
        <v>128249775</v>
      </c>
      <c r="M36" s="10" t="n">
        <v>5346000</v>
      </c>
      <c r="N36" s="10" t="n">
        <v>101103775</v>
      </c>
      <c r="O36" s="10" t="n">
        <v>25536321</v>
      </c>
      <c r="P36" s="10" t="n">
        <v>97367454</v>
      </c>
      <c r="Q36" s="10" t="n">
        <v>10494000</v>
      </c>
      <c r="R36" s="10" t="n">
        <v>3000000</v>
      </c>
      <c r="S36" s="10" t="n">
        <v>141743775</v>
      </c>
      <c r="T36" s="10" t="n">
        <v>0</v>
      </c>
    </row>
    <row r="37">
      <c r="A37" s="17" t="inlineStr">
        <is>
          <t>2024-12</t>
        </is>
      </c>
      <c r="B37" s="17" t="inlineStr">
        <is>
          <t>EMP012</t>
        </is>
      </c>
      <c r="C37" s="18" t="inlineStr">
        <is>
          <t>Võ Quỳnh Trang</t>
        </is>
      </c>
      <c r="D37" s="18" t="inlineStr">
        <is>
          <t>Giám Đốc Nhân Sự &amp; Tuân Thủ (HR &amp; Compliance Dir.)</t>
        </is>
      </c>
      <c r="E37" s="17" t="inlineStr">
        <is>
          <t>Nhân Sự &amp; Quản Trị</t>
        </is>
      </c>
      <c r="F37" s="13" t="n">
        <v>65000000</v>
      </c>
      <c r="G37" s="13" t="n">
        <v>10000000</v>
      </c>
      <c r="H37" s="20" t="n">
        <v>106.5</v>
      </c>
      <c r="I37" s="13" t="n">
        <v>12918750</v>
      </c>
      <c r="J37" s="13" t="n">
        <v>7008313</v>
      </c>
      <c r="K37" s="13" t="n">
        <v>0</v>
      </c>
      <c r="L37" s="13" t="n">
        <v>94927063</v>
      </c>
      <c r="M37" s="13" t="n">
        <v>5096000</v>
      </c>
      <c r="N37" s="13" t="n">
        <v>72431063</v>
      </c>
      <c r="O37" s="13" t="n">
        <v>15879319</v>
      </c>
      <c r="P37" s="13" t="n">
        <v>73951744</v>
      </c>
      <c r="Q37" s="13" t="n">
        <v>10244000</v>
      </c>
      <c r="R37" s="13" t="n">
        <v>3000000</v>
      </c>
      <c r="S37" s="13" t="n">
        <v>108171063</v>
      </c>
      <c r="T37" s="13" t="n">
        <v>0</v>
      </c>
    </row>
    <row r="38">
      <c r="A38" s="17" t="inlineStr">
        <is>
          <t>2025-01</t>
        </is>
      </c>
      <c r="B38" s="17" t="inlineStr">
        <is>
          <t>EMP001</t>
        </is>
      </c>
      <c r="C38" s="18" t="inlineStr">
        <is>
          <t>Nguyễn Quốc Hùng</t>
        </is>
      </c>
      <c r="D38" s="18" t="inlineStr">
        <is>
          <t>Tổng Giám Đốc (Managing Director / CEO)</t>
        </is>
      </c>
      <c r="E38" s="17" t="inlineStr">
        <is>
          <t>Điều Hành Chung</t>
        </is>
      </c>
      <c r="F38" s="10" t="n">
        <v>130000000</v>
      </c>
      <c r="G38" s="10" t="n">
        <v>25000000</v>
      </c>
      <c r="H38" s="19" t="n">
        <v>107.6</v>
      </c>
      <c r="I38" s="10" t="n">
        <v>26910000</v>
      </c>
      <c r="J38" s="10" t="n">
        <v>43309742</v>
      </c>
      <c r="K38" s="10" t="n">
        <v>0</v>
      </c>
      <c r="L38" s="10" t="n">
        <v>225219742</v>
      </c>
      <c r="M38" s="10" t="n">
        <v>5438000</v>
      </c>
      <c r="N38" s="10" t="n">
        <v>197981742</v>
      </c>
      <c r="O38" s="10" t="n">
        <v>59443610</v>
      </c>
      <c r="P38" s="10" t="n">
        <v>160338132</v>
      </c>
      <c r="Q38" s="10" t="n">
        <v>10586000</v>
      </c>
      <c r="R38" s="10" t="n">
        <v>3000000</v>
      </c>
      <c r="S38" s="10" t="n">
        <v>238805742</v>
      </c>
      <c r="T38" s="10" t="n">
        <v>5413717745</v>
      </c>
    </row>
    <row r="39">
      <c r="A39" s="17" t="inlineStr">
        <is>
          <t>2025-01</t>
        </is>
      </c>
      <c r="B39" s="17" t="inlineStr">
        <is>
          <t>EMP002</t>
        </is>
      </c>
      <c r="C39" s="18" t="inlineStr">
        <is>
          <t>Trần Minh Tuấn</t>
        </is>
      </c>
      <c r="D39" s="18" t="inlineStr">
        <is>
          <t>Phó TGĐ Kinh Doanh (Deputy CEO &amp; Head of BD)</t>
        </is>
      </c>
      <c r="E39" s="17" t="inlineStr">
        <is>
          <t>Thương Mại &amp; BD</t>
        </is>
      </c>
      <c r="F39" s="13" t="n">
        <v>105000000</v>
      </c>
      <c r="G39" s="13" t="n">
        <v>20000000</v>
      </c>
      <c r="H39" s="20" t="n">
        <v>105</v>
      </c>
      <c r="I39" s="13" t="n">
        <v>19687500</v>
      </c>
      <c r="J39" s="13" t="n">
        <v>50393031</v>
      </c>
      <c r="K39" s="13" t="n">
        <v>33760540</v>
      </c>
      <c r="L39" s="13" t="n">
        <v>228841071</v>
      </c>
      <c r="M39" s="13" t="n">
        <v>5438000</v>
      </c>
      <c r="N39" s="13" t="n">
        <v>201603071</v>
      </c>
      <c r="O39" s="13" t="n">
        <v>60711075</v>
      </c>
      <c r="P39" s="13" t="n">
        <v>162691996</v>
      </c>
      <c r="Q39" s="13" t="n">
        <v>10586000</v>
      </c>
      <c r="R39" s="13" t="n">
        <v>3000000</v>
      </c>
      <c r="S39" s="13" t="n">
        <v>242427071</v>
      </c>
      <c r="T39" s="13" t="n">
        <v>3518916534</v>
      </c>
    </row>
    <row r="40">
      <c r="A40" s="17" t="inlineStr">
        <is>
          <t>2025-01</t>
        </is>
      </c>
      <c r="B40" s="17" t="inlineStr">
        <is>
          <t>EMP003</t>
        </is>
      </c>
      <c r="C40" s="18" t="inlineStr">
        <is>
          <t>LS. Lê Hoàng Nam</t>
        </is>
      </c>
      <c r="D40" s="18" t="inlineStr">
        <is>
          <t>Giám Đốc Pháp Lý &amp; Thụ Lý Hồ Sơ (Legal Director)</t>
        </is>
      </c>
      <c r="E40" s="17" t="inlineStr">
        <is>
          <t>Pháp Lý Di Trú</t>
        </is>
      </c>
      <c r="F40" s="10" t="n">
        <v>95000000</v>
      </c>
      <c r="G40" s="10" t="n">
        <v>15000000</v>
      </c>
      <c r="H40" s="19" t="n">
        <v>89.8</v>
      </c>
      <c r="I40" s="10" t="n">
        <v>6982500</v>
      </c>
      <c r="J40" s="10" t="n">
        <v>23490082</v>
      </c>
      <c r="K40" s="10" t="n">
        <v>10348654</v>
      </c>
      <c r="L40" s="10" t="n">
        <v>150821236</v>
      </c>
      <c r="M40" s="10" t="n">
        <v>5396000</v>
      </c>
      <c r="N40" s="10" t="n">
        <v>128025236</v>
      </c>
      <c r="O40" s="10" t="n">
        <v>34958833</v>
      </c>
      <c r="P40" s="10" t="n">
        <v>110466403</v>
      </c>
      <c r="Q40" s="10" t="n">
        <v>10544000</v>
      </c>
      <c r="R40" s="10" t="n">
        <v>3000000</v>
      </c>
      <c r="S40" s="10" t="n">
        <v>164365236</v>
      </c>
      <c r="T40" s="10" t="n">
        <v>0</v>
      </c>
    </row>
    <row r="41">
      <c r="A41" s="17" t="inlineStr">
        <is>
          <t>2025-01</t>
        </is>
      </c>
      <c r="B41" s="17" t="inlineStr">
        <is>
          <t>EMP004</t>
        </is>
      </c>
      <c r="C41" s="18" t="inlineStr">
        <is>
          <t>Phạm Thanh Hà</t>
        </is>
      </c>
      <c r="D41" s="18" t="inlineStr">
        <is>
          <t>Giám Đốc Thẩm Định Đầu Tư (Investment DD Director)</t>
        </is>
      </c>
      <c r="E41" s="17" t="inlineStr">
        <is>
          <t>Đầu Tư &amp; Thẩm Định</t>
        </is>
      </c>
      <c r="F41" s="13" t="n">
        <v>90000000</v>
      </c>
      <c r="G41" s="13" t="n">
        <v>15000000</v>
      </c>
      <c r="H41" s="20" t="n">
        <v>108.7</v>
      </c>
      <c r="I41" s="13" t="n">
        <v>19372500</v>
      </c>
      <c r="J41" s="13" t="n">
        <v>22849472</v>
      </c>
      <c r="K41" s="13" t="n">
        <v>0</v>
      </c>
      <c r="L41" s="13" t="n">
        <v>147221972</v>
      </c>
      <c r="M41" s="13" t="n">
        <v>5346000</v>
      </c>
      <c r="N41" s="13" t="n">
        <v>124475972</v>
      </c>
      <c r="O41" s="13" t="n">
        <v>33716590</v>
      </c>
      <c r="P41" s="13" t="n">
        <v>108159382</v>
      </c>
      <c r="Q41" s="13" t="n">
        <v>10494000</v>
      </c>
      <c r="R41" s="13" t="n">
        <v>3000000</v>
      </c>
      <c r="S41" s="13" t="n">
        <v>160715972</v>
      </c>
      <c r="T41" s="13" t="n">
        <v>0</v>
      </c>
    </row>
    <row r="42">
      <c r="A42" s="17" t="inlineStr">
        <is>
          <t>2025-01</t>
        </is>
      </c>
      <c r="B42" s="17" t="inlineStr">
        <is>
          <t>EMP005</t>
        </is>
      </c>
      <c r="C42" s="18" t="inlineStr">
        <is>
          <t>Vũ Hải Đăng</t>
        </is>
      </c>
      <c r="D42" s="18" t="inlineStr">
        <is>
          <t>Giám Đốc Khách Hàng VIP (Private Clients Director)</t>
        </is>
      </c>
      <c r="E42" s="17" t="inlineStr">
        <is>
          <t>Thương Mại &amp; BD</t>
        </is>
      </c>
      <c r="F42" s="10" t="n">
        <v>85000000</v>
      </c>
      <c r="G42" s="10" t="n">
        <v>20000000</v>
      </c>
      <c r="H42" s="19" t="n">
        <v>95.90000000000001</v>
      </c>
      <c r="I42" s="10" t="n">
        <v>10136250</v>
      </c>
      <c r="J42" s="10" t="n">
        <v>38774692</v>
      </c>
      <c r="K42" s="10" t="n">
        <v>19730262</v>
      </c>
      <c r="L42" s="10" t="n">
        <v>173641204</v>
      </c>
      <c r="M42" s="10" t="n">
        <v>5296000</v>
      </c>
      <c r="N42" s="10" t="n">
        <v>150945204</v>
      </c>
      <c r="O42" s="10" t="n">
        <v>42980821</v>
      </c>
      <c r="P42" s="10" t="n">
        <v>125364383</v>
      </c>
      <c r="Q42" s="10" t="n">
        <v>10444000</v>
      </c>
      <c r="R42" s="10" t="n">
        <v>3000000</v>
      </c>
      <c r="S42" s="10" t="n">
        <v>187085204</v>
      </c>
      <c r="T42" s="10" t="n">
        <v>1894801211</v>
      </c>
    </row>
    <row r="43">
      <c r="A43" s="17" t="inlineStr">
        <is>
          <t>2025-01</t>
        </is>
      </c>
      <c r="B43" s="17" t="inlineStr">
        <is>
          <t>EMP006</t>
        </is>
      </c>
      <c r="C43" s="18" t="inlineStr">
        <is>
          <t>Đỗ Phương Thảo</t>
        </is>
      </c>
      <c r="D43" s="18" t="inlineStr">
        <is>
          <t>Giám Đốc Marketing &amp; Thương Hiệu (CMO)</t>
        </is>
      </c>
      <c r="E43" s="17" t="inlineStr">
        <is>
          <t>Tiếp Thị &amp; Brand</t>
        </is>
      </c>
      <c r="F43" s="13" t="n">
        <v>80000000</v>
      </c>
      <c r="G43" s="13" t="n">
        <v>12000000</v>
      </c>
      <c r="H43" s="20" t="n">
        <v>95.8</v>
      </c>
      <c r="I43" s="13" t="n">
        <v>9480000</v>
      </c>
      <c r="J43" s="13" t="n">
        <v>14571589</v>
      </c>
      <c r="K43" s="13" t="n">
        <v>0</v>
      </c>
      <c r="L43" s="13" t="n">
        <v>116051589</v>
      </c>
      <c r="M43" s="13" t="n">
        <v>5246000</v>
      </c>
      <c r="N43" s="13" t="n">
        <v>97805589</v>
      </c>
      <c r="O43" s="13" t="n">
        <v>24381956</v>
      </c>
      <c r="P43" s="13" t="n">
        <v>86423633</v>
      </c>
      <c r="Q43" s="13" t="n">
        <v>10394000</v>
      </c>
      <c r="R43" s="13" t="n">
        <v>3000000</v>
      </c>
      <c r="S43" s="13" t="n">
        <v>129445589</v>
      </c>
      <c r="T43" s="13" t="n">
        <v>0</v>
      </c>
    </row>
    <row r="44">
      <c r="A44" s="17" t="inlineStr">
        <is>
          <t>2025-01</t>
        </is>
      </c>
      <c r="B44" s="17" t="inlineStr">
        <is>
          <t>EMP007</t>
        </is>
      </c>
      <c r="C44" s="18" t="inlineStr">
        <is>
          <t>Hoàng Gia Bách</t>
        </is>
      </c>
      <c r="D44" s="18" t="inlineStr">
        <is>
          <t>Giám Đốc Chi Nhánh Hà Nội (Northern Regional Dir.)</t>
        </is>
      </c>
      <c r="E44" s="17" t="inlineStr">
        <is>
          <t>Khối Chi Nhánh</t>
        </is>
      </c>
      <c r="F44" s="10" t="n">
        <v>85000000</v>
      </c>
      <c r="G44" s="10" t="n">
        <v>15000000</v>
      </c>
      <c r="H44" s="19" t="n">
        <v>103.3</v>
      </c>
      <c r="I44" s="10" t="n">
        <v>14853750</v>
      </c>
      <c r="J44" s="10" t="n">
        <v>34078557</v>
      </c>
      <c r="K44" s="10" t="n">
        <v>19263764</v>
      </c>
      <c r="L44" s="10" t="n">
        <v>168196071</v>
      </c>
      <c r="M44" s="10" t="n">
        <v>5296000</v>
      </c>
      <c r="N44" s="10" t="n">
        <v>141100071</v>
      </c>
      <c r="O44" s="10" t="n">
        <v>39535025</v>
      </c>
      <c r="P44" s="10" t="n">
        <v>123365046</v>
      </c>
      <c r="Q44" s="10" t="n">
        <v>10444000</v>
      </c>
      <c r="R44" s="10" t="n">
        <v>3000000</v>
      </c>
      <c r="S44" s="10" t="n">
        <v>181640071</v>
      </c>
      <c r="T44" s="10" t="n">
        <v>2057212743</v>
      </c>
    </row>
    <row r="45">
      <c r="A45" s="17" t="inlineStr">
        <is>
          <t>2025-01</t>
        </is>
      </c>
      <c r="B45" s="17" t="inlineStr">
        <is>
          <t>EMP008</t>
        </is>
      </c>
      <c r="C45" s="18" t="inlineStr">
        <is>
          <t>Ngô Thị Bích Ngọc</t>
        </is>
      </c>
      <c r="D45" s="18" t="inlineStr">
        <is>
          <t>Giám Đốc Chi Nhánh TP.HCM (Southern Regional Dir.)</t>
        </is>
      </c>
      <c r="E45" s="17" t="inlineStr">
        <is>
          <t>Khối Chi Nhánh</t>
        </is>
      </c>
      <c r="F45" s="13" t="n">
        <v>90000000</v>
      </c>
      <c r="G45" s="13" t="n">
        <v>15000000</v>
      </c>
      <c r="H45" s="20" t="n">
        <v>90.90000000000001</v>
      </c>
      <c r="I45" s="13" t="n">
        <v>7357500</v>
      </c>
      <c r="J45" s="13" t="n">
        <v>42463968</v>
      </c>
      <c r="K45" s="13" t="n">
        <v>28292670</v>
      </c>
      <c r="L45" s="13" t="n">
        <v>183114138</v>
      </c>
      <c r="M45" s="13" t="n">
        <v>5346000</v>
      </c>
      <c r="N45" s="13" t="n">
        <v>160368138</v>
      </c>
      <c r="O45" s="13" t="n">
        <v>46278848</v>
      </c>
      <c r="P45" s="13" t="n">
        <v>131489290</v>
      </c>
      <c r="Q45" s="13" t="n">
        <v>10494000</v>
      </c>
      <c r="R45" s="13" t="n">
        <v>3000000</v>
      </c>
      <c r="S45" s="13" t="n">
        <v>196608138</v>
      </c>
      <c r="T45" s="13" t="n">
        <v>2598584518</v>
      </c>
    </row>
    <row r="46">
      <c r="A46" s="17" t="inlineStr">
        <is>
          <t>2025-01</t>
        </is>
      </c>
      <c r="B46" s="17" t="inlineStr">
        <is>
          <t>EMP009</t>
        </is>
      </c>
      <c r="C46" s="18" t="inlineStr">
        <is>
          <t>Trịnh Minh Trí</t>
        </is>
      </c>
      <c r="D46" s="18" t="inlineStr">
        <is>
          <t>Trưởng Ban Đối Ngoại &amp; Lãnh Sự (Head of Consular)</t>
        </is>
      </c>
      <c r="E46" s="17" t="inlineStr">
        <is>
          <t>Đối Ngoại Lãnh Sự</t>
        </is>
      </c>
      <c r="F46" s="10" t="n">
        <v>70000000</v>
      </c>
      <c r="G46" s="10" t="n">
        <v>15000000</v>
      </c>
      <c r="H46" s="19" t="n">
        <v>101.5</v>
      </c>
      <c r="I46" s="10" t="n">
        <v>11287500</v>
      </c>
      <c r="J46" s="10" t="n">
        <v>31533860</v>
      </c>
      <c r="K46" s="10" t="n">
        <v>18063492</v>
      </c>
      <c r="L46" s="10" t="n">
        <v>145884852</v>
      </c>
      <c r="M46" s="10" t="n">
        <v>5146000</v>
      </c>
      <c r="N46" s="10" t="n">
        <v>123338852</v>
      </c>
      <c r="O46" s="10" t="n">
        <v>33318598</v>
      </c>
      <c r="P46" s="10" t="n">
        <v>107420254</v>
      </c>
      <c r="Q46" s="10" t="n">
        <v>10294000</v>
      </c>
      <c r="R46" s="10" t="n">
        <v>3000000</v>
      </c>
      <c r="S46" s="10" t="n">
        <v>159178852</v>
      </c>
      <c r="T46" s="10" t="n">
        <v>0</v>
      </c>
    </row>
    <row r="47">
      <c r="A47" s="17" t="inlineStr">
        <is>
          <t>2025-01</t>
        </is>
      </c>
      <c r="B47" s="17" t="inlineStr">
        <is>
          <t>EMP010</t>
        </is>
      </c>
      <c r="C47" s="18" t="inlineStr">
        <is>
          <t>Bùi Thanh Mai</t>
        </is>
      </c>
      <c r="D47" s="18" t="inlineStr">
        <is>
          <t>Trưởng Ban An Cư (Head of Settlement Operations)</t>
        </is>
      </c>
      <c r="E47" s="17" t="inlineStr">
        <is>
          <t>Vận Hành An Cư</t>
        </is>
      </c>
      <c r="F47" s="13" t="n">
        <v>65000000</v>
      </c>
      <c r="G47" s="13" t="n">
        <v>10000000</v>
      </c>
      <c r="H47" s="20" t="n">
        <v>100.5</v>
      </c>
      <c r="I47" s="13" t="n">
        <v>9993750</v>
      </c>
      <c r="J47" s="13" t="n">
        <v>9090623</v>
      </c>
      <c r="K47" s="13" t="n">
        <v>0</v>
      </c>
      <c r="L47" s="13" t="n">
        <v>94084373</v>
      </c>
      <c r="M47" s="13" t="n">
        <v>5096000</v>
      </c>
      <c r="N47" s="13" t="n">
        <v>71588373</v>
      </c>
      <c r="O47" s="13" t="n">
        <v>15626512</v>
      </c>
      <c r="P47" s="13" t="n">
        <v>73361861</v>
      </c>
      <c r="Q47" s="13" t="n">
        <v>10244000</v>
      </c>
      <c r="R47" s="13" t="n">
        <v>3000000</v>
      </c>
      <c r="S47" s="13" t="n">
        <v>107328373</v>
      </c>
      <c r="T47" s="13" t="n">
        <v>0</v>
      </c>
    </row>
    <row r="48">
      <c r="A48" s="17" t="inlineStr">
        <is>
          <t>2025-01</t>
        </is>
      </c>
      <c r="B48" s="17" t="inlineStr">
        <is>
          <t>EMP011</t>
        </is>
      </c>
      <c r="C48" s="18" t="inlineStr">
        <is>
          <t>Đặng Văn Lâm</t>
        </is>
      </c>
      <c r="D48" s="18" t="inlineStr">
        <is>
          <t>Giám Đốc Tài Chính Quốc Tế (CFO)</t>
        </is>
      </c>
      <c r="E48" s="17" t="inlineStr">
        <is>
          <t>Tài Chính &amp; Kế Toán</t>
        </is>
      </c>
      <c r="F48" s="10" t="n">
        <v>90000000</v>
      </c>
      <c r="G48" s="10" t="n">
        <v>12000000</v>
      </c>
      <c r="H48" s="19" t="n">
        <v>88.59999999999999</v>
      </c>
      <c r="I48" s="10" t="n">
        <v>5805000</v>
      </c>
      <c r="J48" s="10" t="n">
        <v>8559432</v>
      </c>
      <c r="K48" s="10" t="n">
        <v>0</v>
      </c>
      <c r="L48" s="10" t="n">
        <v>116364432</v>
      </c>
      <c r="M48" s="10" t="n">
        <v>5346000</v>
      </c>
      <c r="N48" s="10" t="n">
        <v>89218432</v>
      </c>
      <c r="O48" s="10" t="n">
        <v>21376451</v>
      </c>
      <c r="P48" s="10" t="n">
        <v>89641981</v>
      </c>
      <c r="Q48" s="10" t="n">
        <v>10494000</v>
      </c>
      <c r="R48" s="10" t="n">
        <v>3000000</v>
      </c>
      <c r="S48" s="10" t="n">
        <v>129858432</v>
      </c>
      <c r="T48" s="10" t="n">
        <v>0</v>
      </c>
    </row>
    <row r="49">
      <c r="A49" s="17" t="inlineStr">
        <is>
          <t>2025-01</t>
        </is>
      </c>
      <c r="B49" s="17" t="inlineStr">
        <is>
          <t>EMP012</t>
        </is>
      </c>
      <c r="C49" s="18" t="inlineStr">
        <is>
          <t>Võ Quỳnh Trang</t>
        </is>
      </c>
      <c r="D49" s="18" t="inlineStr">
        <is>
          <t>Giám Đốc Nhân Sự &amp; Tuân Thủ (HR &amp; Compliance Dir.)</t>
        </is>
      </c>
      <c r="E49" s="17" t="inlineStr">
        <is>
          <t>Nhân Sự &amp; Quản Trị</t>
        </is>
      </c>
      <c r="F49" s="13" t="n">
        <v>65000000</v>
      </c>
      <c r="G49" s="13" t="n">
        <v>10000000</v>
      </c>
      <c r="H49" s="20" t="n">
        <v>88.8</v>
      </c>
      <c r="I49" s="13" t="n">
        <v>4290000</v>
      </c>
      <c r="J49" s="13" t="n">
        <v>10991335</v>
      </c>
      <c r="K49" s="13" t="n">
        <v>0</v>
      </c>
      <c r="L49" s="13" t="n">
        <v>90281335</v>
      </c>
      <c r="M49" s="13" t="n">
        <v>5096000</v>
      </c>
      <c r="N49" s="13" t="n">
        <v>67785335</v>
      </c>
      <c r="O49" s="13" t="n">
        <v>14485600</v>
      </c>
      <c r="P49" s="13" t="n">
        <v>70699735</v>
      </c>
      <c r="Q49" s="13" t="n">
        <v>10244000</v>
      </c>
      <c r="R49" s="13" t="n">
        <v>3000000</v>
      </c>
      <c r="S49" s="13" t="n">
        <v>103525335</v>
      </c>
      <c r="T49" s="13" t="n">
        <v>0</v>
      </c>
    </row>
    <row r="50">
      <c r="A50" s="17" t="inlineStr">
        <is>
          <t>2025-02</t>
        </is>
      </c>
      <c r="B50" s="17" t="inlineStr">
        <is>
          <t>EMP001</t>
        </is>
      </c>
      <c r="C50" s="18" t="inlineStr">
        <is>
          <t>Nguyễn Quốc Hùng</t>
        </is>
      </c>
      <c r="D50" s="18" t="inlineStr">
        <is>
          <t>Tổng Giám Đốc (Managing Director / CEO)</t>
        </is>
      </c>
      <c r="E50" s="17" t="inlineStr">
        <is>
          <t>Điều Hành Chung</t>
        </is>
      </c>
      <c r="F50" s="10" t="n">
        <v>130000000</v>
      </c>
      <c r="G50" s="10" t="n">
        <v>25000000</v>
      </c>
      <c r="H50" s="19" t="n">
        <v>100.2</v>
      </c>
      <c r="I50" s="10" t="n">
        <v>19695000</v>
      </c>
      <c r="J50" s="10" t="n">
        <v>43477523</v>
      </c>
      <c r="K50" s="10" t="n">
        <v>0</v>
      </c>
      <c r="L50" s="10" t="n">
        <v>218172523</v>
      </c>
      <c r="M50" s="10" t="n">
        <v>5438000</v>
      </c>
      <c r="N50" s="10" t="n">
        <v>190934523</v>
      </c>
      <c r="O50" s="10" t="n">
        <v>56977083</v>
      </c>
      <c r="P50" s="10" t="n">
        <v>155757440</v>
      </c>
      <c r="Q50" s="10" t="n">
        <v>10586000</v>
      </c>
      <c r="R50" s="10" t="n">
        <v>3000000</v>
      </c>
      <c r="S50" s="10" t="n">
        <v>231758523</v>
      </c>
      <c r="T50" s="10" t="n">
        <v>5434690386</v>
      </c>
    </row>
    <row r="51">
      <c r="A51" s="17" t="inlineStr">
        <is>
          <t>2025-02</t>
        </is>
      </c>
      <c r="B51" s="17" t="inlineStr">
        <is>
          <t>EMP002</t>
        </is>
      </c>
      <c r="C51" s="18" t="inlineStr">
        <is>
          <t>Trần Minh Tuấn</t>
        </is>
      </c>
      <c r="D51" s="18" t="inlineStr">
        <is>
          <t>Phó TGĐ Kinh Doanh (Deputy CEO &amp; Head of BD)</t>
        </is>
      </c>
      <c r="E51" s="17" t="inlineStr">
        <is>
          <t>Thương Mại &amp; BD</t>
        </is>
      </c>
      <c r="F51" s="13" t="n">
        <v>105000000</v>
      </c>
      <c r="G51" s="13" t="n">
        <v>20000000</v>
      </c>
      <c r="H51" s="20" t="n">
        <v>109.8</v>
      </c>
      <c r="I51" s="13" t="n">
        <v>23467500</v>
      </c>
      <c r="J51" s="13" t="n">
        <v>48215790</v>
      </c>
      <c r="K51" s="13" t="n">
        <v>7789620</v>
      </c>
      <c r="L51" s="13" t="n">
        <v>204472910</v>
      </c>
      <c r="M51" s="13" t="n">
        <v>5438000</v>
      </c>
      <c r="N51" s="13" t="n">
        <v>177234910</v>
      </c>
      <c r="O51" s="13" t="n">
        <v>52182218</v>
      </c>
      <c r="P51" s="13" t="n">
        <v>146852692</v>
      </c>
      <c r="Q51" s="13" t="n">
        <v>10586000</v>
      </c>
      <c r="R51" s="13" t="n">
        <v>3000000</v>
      </c>
      <c r="S51" s="13" t="n">
        <v>218058910</v>
      </c>
      <c r="T51" s="13" t="n">
        <v>3532548751</v>
      </c>
    </row>
    <row r="52">
      <c r="A52" s="17" t="inlineStr">
        <is>
          <t>2025-02</t>
        </is>
      </c>
      <c r="B52" s="17" t="inlineStr">
        <is>
          <t>EMP003</t>
        </is>
      </c>
      <c r="C52" s="18" t="inlineStr">
        <is>
          <t>LS. Lê Hoàng Nam</t>
        </is>
      </c>
      <c r="D52" s="18" t="inlineStr">
        <is>
          <t>Giám Đốc Pháp Lý &amp; Thụ Lý Hồ Sơ (Legal Director)</t>
        </is>
      </c>
      <c r="E52" s="17" t="inlineStr">
        <is>
          <t>Pháp Lý Di Trú</t>
        </is>
      </c>
      <c r="F52" s="10" t="n">
        <v>95000000</v>
      </c>
      <c r="G52" s="10" t="n">
        <v>15000000</v>
      </c>
      <c r="H52" s="19" t="n">
        <v>106.1</v>
      </c>
      <c r="I52" s="10" t="n">
        <v>18596250</v>
      </c>
      <c r="J52" s="10" t="n">
        <v>19564127</v>
      </c>
      <c r="K52" s="10" t="n">
        <v>2182319</v>
      </c>
      <c r="L52" s="10" t="n">
        <v>150342696</v>
      </c>
      <c r="M52" s="10" t="n">
        <v>5396000</v>
      </c>
      <c r="N52" s="10" t="n">
        <v>127546696</v>
      </c>
      <c r="O52" s="10" t="n">
        <v>34791344</v>
      </c>
      <c r="P52" s="10" t="n">
        <v>110155352</v>
      </c>
      <c r="Q52" s="10" t="n">
        <v>10544000</v>
      </c>
      <c r="R52" s="10" t="n">
        <v>3000000</v>
      </c>
      <c r="S52" s="10" t="n">
        <v>163886696</v>
      </c>
      <c r="T52" s="10" t="n">
        <v>0</v>
      </c>
    </row>
    <row r="53">
      <c r="A53" s="17" t="inlineStr">
        <is>
          <t>2025-02</t>
        </is>
      </c>
      <c r="B53" s="17" t="inlineStr">
        <is>
          <t>EMP004</t>
        </is>
      </c>
      <c r="C53" s="18" t="inlineStr">
        <is>
          <t>Phạm Thanh Hà</t>
        </is>
      </c>
      <c r="D53" s="18" t="inlineStr">
        <is>
          <t>Giám Đốc Thẩm Định Đầu Tư (Investment DD Director)</t>
        </is>
      </c>
      <c r="E53" s="17" t="inlineStr">
        <is>
          <t>Đầu Tư &amp; Thẩm Định</t>
        </is>
      </c>
      <c r="F53" s="13" t="n">
        <v>90000000</v>
      </c>
      <c r="G53" s="13" t="n">
        <v>15000000</v>
      </c>
      <c r="H53" s="20" t="n">
        <v>95</v>
      </c>
      <c r="I53" s="13" t="n">
        <v>10125000</v>
      </c>
      <c r="J53" s="13" t="n">
        <v>14857098</v>
      </c>
      <c r="K53" s="13" t="n">
        <v>0</v>
      </c>
      <c r="L53" s="13" t="n">
        <v>129982098</v>
      </c>
      <c r="M53" s="13" t="n">
        <v>5346000</v>
      </c>
      <c r="N53" s="13" t="n">
        <v>107236098</v>
      </c>
      <c r="O53" s="13" t="n">
        <v>27682634</v>
      </c>
      <c r="P53" s="13" t="n">
        <v>96953464</v>
      </c>
      <c r="Q53" s="13" t="n">
        <v>10494000</v>
      </c>
      <c r="R53" s="13" t="n">
        <v>3000000</v>
      </c>
      <c r="S53" s="13" t="n">
        <v>143476098</v>
      </c>
      <c r="T53" s="13" t="n">
        <v>0</v>
      </c>
    </row>
    <row r="54">
      <c r="A54" s="17" t="inlineStr">
        <is>
          <t>2025-02</t>
        </is>
      </c>
      <c r="B54" s="17" t="inlineStr">
        <is>
          <t>EMP005</t>
        </is>
      </c>
      <c r="C54" s="18" t="inlineStr">
        <is>
          <t>Vũ Hải Đăng</t>
        </is>
      </c>
      <c r="D54" s="18" t="inlineStr">
        <is>
          <t>Giám Đốc Khách Hàng VIP (Private Clients Director)</t>
        </is>
      </c>
      <c r="E54" s="17" t="inlineStr">
        <is>
          <t>Thương Mại &amp; BD</t>
        </is>
      </c>
      <c r="F54" s="10" t="n">
        <v>85000000</v>
      </c>
      <c r="G54" s="10" t="n">
        <v>20000000</v>
      </c>
      <c r="H54" s="19" t="n">
        <v>110.3</v>
      </c>
      <c r="I54" s="10" t="n">
        <v>19316250</v>
      </c>
      <c r="J54" s="10" t="n">
        <v>43910148</v>
      </c>
      <c r="K54" s="10" t="n">
        <v>8562943</v>
      </c>
      <c r="L54" s="10" t="n">
        <v>176789341</v>
      </c>
      <c r="M54" s="10" t="n">
        <v>5296000</v>
      </c>
      <c r="N54" s="10" t="n">
        <v>154093341</v>
      </c>
      <c r="O54" s="10" t="n">
        <v>44082669</v>
      </c>
      <c r="P54" s="10" t="n">
        <v>127410672</v>
      </c>
      <c r="Q54" s="10" t="n">
        <v>10444000</v>
      </c>
      <c r="R54" s="10" t="n">
        <v>3000000</v>
      </c>
      <c r="S54" s="10" t="n">
        <v>190233341</v>
      </c>
      <c r="T54" s="10" t="n">
        <v>1902141635</v>
      </c>
    </row>
    <row r="55">
      <c r="A55" s="17" t="inlineStr">
        <is>
          <t>2025-02</t>
        </is>
      </c>
      <c r="B55" s="17" t="inlineStr">
        <is>
          <t>EMP006</t>
        </is>
      </c>
      <c r="C55" s="18" t="inlineStr">
        <is>
          <t>Đỗ Phương Thảo</t>
        </is>
      </c>
      <c r="D55" s="18" t="inlineStr">
        <is>
          <t>Giám Đốc Marketing &amp; Thương Hiệu (CMO)</t>
        </is>
      </c>
      <c r="E55" s="17" t="inlineStr">
        <is>
          <t>Tiếp Thị &amp; Brand</t>
        </is>
      </c>
      <c r="F55" s="13" t="n">
        <v>80000000</v>
      </c>
      <c r="G55" s="13" t="n">
        <v>12000000</v>
      </c>
      <c r="H55" s="20" t="n">
        <v>108.9</v>
      </c>
      <c r="I55" s="13" t="n">
        <v>17340000</v>
      </c>
      <c r="J55" s="13" t="n">
        <v>15401127</v>
      </c>
      <c r="K55" s="13" t="n">
        <v>0</v>
      </c>
      <c r="L55" s="13" t="n">
        <v>124741127</v>
      </c>
      <c r="M55" s="13" t="n">
        <v>5246000</v>
      </c>
      <c r="N55" s="13" t="n">
        <v>106495127</v>
      </c>
      <c r="O55" s="13" t="n">
        <v>27423294</v>
      </c>
      <c r="P55" s="13" t="n">
        <v>92071833</v>
      </c>
      <c r="Q55" s="13" t="n">
        <v>10394000</v>
      </c>
      <c r="R55" s="13" t="n">
        <v>3000000</v>
      </c>
      <c r="S55" s="13" t="n">
        <v>138135127</v>
      </c>
      <c r="T55" s="13" t="n">
        <v>0</v>
      </c>
    </row>
    <row r="56">
      <c r="A56" s="17" t="inlineStr">
        <is>
          <t>2025-02</t>
        </is>
      </c>
      <c r="B56" s="17" t="inlineStr">
        <is>
          <t>EMP007</t>
        </is>
      </c>
      <c r="C56" s="18" t="inlineStr">
        <is>
          <t>Hoàng Gia Bách</t>
        </is>
      </c>
      <c r="D56" s="18" t="inlineStr">
        <is>
          <t>Giám Đốc Chi Nhánh Hà Nội (Northern Regional Dir.)</t>
        </is>
      </c>
      <c r="E56" s="17" t="inlineStr">
        <is>
          <t>Khối Chi Nhánh</t>
        </is>
      </c>
      <c r="F56" s="10" t="n">
        <v>85000000</v>
      </c>
      <c r="G56" s="10" t="n">
        <v>15000000</v>
      </c>
      <c r="H56" s="19" t="n">
        <v>92.5</v>
      </c>
      <c r="I56" s="10" t="n">
        <v>7968750</v>
      </c>
      <c r="J56" s="10" t="n">
        <v>34233542</v>
      </c>
      <c r="K56" s="10" t="n">
        <v>6192893</v>
      </c>
      <c r="L56" s="10" t="n">
        <v>148395185</v>
      </c>
      <c r="M56" s="10" t="n">
        <v>5296000</v>
      </c>
      <c r="N56" s="10" t="n">
        <v>121299185</v>
      </c>
      <c r="O56" s="10" t="n">
        <v>32604715</v>
      </c>
      <c r="P56" s="10" t="n">
        <v>110494470</v>
      </c>
      <c r="Q56" s="10" t="n">
        <v>10444000</v>
      </c>
      <c r="R56" s="10" t="n">
        <v>3000000</v>
      </c>
      <c r="S56" s="10" t="n">
        <v>161839185</v>
      </c>
      <c r="T56" s="10" t="n">
        <v>2065182347</v>
      </c>
    </row>
    <row r="57">
      <c r="A57" s="17" t="inlineStr">
        <is>
          <t>2025-02</t>
        </is>
      </c>
      <c r="B57" s="17" t="inlineStr">
        <is>
          <t>EMP008</t>
        </is>
      </c>
      <c r="C57" s="18" t="inlineStr">
        <is>
          <t>Ngô Thị Bích Ngọc</t>
        </is>
      </c>
      <c r="D57" s="18" t="inlineStr">
        <is>
          <t>Giám Đốc Chi Nhánh TP.HCM (Southern Regional Dir.)</t>
        </is>
      </c>
      <c r="E57" s="17" t="inlineStr">
        <is>
          <t>Khối Chi Nhánh</t>
        </is>
      </c>
      <c r="F57" s="13" t="n">
        <v>90000000</v>
      </c>
      <c r="G57" s="13" t="n">
        <v>15000000</v>
      </c>
      <c r="H57" s="20" t="n">
        <v>107.4</v>
      </c>
      <c r="I57" s="13" t="n">
        <v>18495000</v>
      </c>
      <c r="J57" s="13" t="n">
        <v>43391645</v>
      </c>
      <c r="K57" s="13" t="n">
        <v>6408969</v>
      </c>
      <c r="L57" s="13" t="n">
        <v>173295614</v>
      </c>
      <c r="M57" s="13" t="n">
        <v>5346000</v>
      </c>
      <c r="N57" s="13" t="n">
        <v>150549614</v>
      </c>
      <c r="O57" s="13" t="n">
        <v>42842365</v>
      </c>
      <c r="P57" s="13" t="n">
        <v>125107249</v>
      </c>
      <c r="Q57" s="13" t="n">
        <v>10494000</v>
      </c>
      <c r="R57" s="13" t="n">
        <v>3000000</v>
      </c>
      <c r="S57" s="13" t="n">
        <v>186789614</v>
      </c>
      <c r="T57" s="13" t="n">
        <v>2608651385</v>
      </c>
    </row>
    <row r="58">
      <c r="A58" s="17" t="inlineStr">
        <is>
          <t>2025-02</t>
        </is>
      </c>
      <c r="B58" s="17" t="inlineStr">
        <is>
          <t>EMP009</t>
        </is>
      </c>
      <c r="C58" s="18" t="inlineStr">
        <is>
          <t>Trịnh Minh Trí</t>
        </is>
      </c>
      <c r="D58" s="18" t="inlineStr">
        <is>
          <t>Trưởng Ban Đối Ngoại &amp; Lãnh Sự (Head of Consular)</t>
        </is>
      </c>
      <c r="E58" s="17" t="inlineStr">
        <is>
          <t>Đối Ngoại Lãnh Sự</t>
        </is>
      </c>
      <c r="F58" s="10" t="n">
        <v>70000000</v>
      </c>
      <c r="G58" s="10" t="n">
        <v>15000000</v>
      </c>
      <c r="H58" s="19" t="n">
        <v>90.59999999999999</v>
      </c>
      <c r="I58" s="10" t="n">
        <v>5565000</v>
      </c>
      <c r="J58" s="10" t="n">
        <v>19548420</v>
      </c>
      <c r="K58" s="10" t="n">
        <v>3207234</v>
      </c>
      <c r="L58" s="10" t="n">
        <v>113320654</v>
      </c>
      <c r="M58" s="10" t="n">
        <v>5146000</v>
      </c>
      <c r="N58" s="10" t="n">
        <v>90774654</v>
      </c>
      <c r="O58" s="10" t="n">
        <v>21921129</v>
      </c>
      <c r="P58" s="10" t="n">
        <v>86253525</v>
      </c>
      <c r="Q58" s="10" t="n">
        <v>10294000</v>
      </c>
      <c r="R58" s="10" t="n">
        <v>3000000</v>
      </c>
      <c r="S58" s="10" t="n">
        <v>126614654</v>
      </c>
      <c r="T58" s="10" t="n">
        <v>0</v>
      </c>
    </row>
    <row r="59">
      <c r="A59" s="17" t="inlineStr">
        <is>
          <t>2025-02</t>
        </is>
      </c>
      <c r="B59" s="17" t="inlineStr">
        <is>
          <t>EMP010</t>
        </is>
      </c>
      <c r="C59" s="18" t="inlineStr">
        <is>
          <t>Bùi Thanh Mai</t>
        </is>
      </c>
      <c r="D59" s="18" t="inlineStr">
        <is>
          <t>Trưởng Ban An Cư (Head of Settlement Operations)</t>
        </is>
      </c>
      <c r="E59" s="17" t="inlineStr">
        <is>
          <t>Vận Hành An Cư</t>
        </is>
      </c>
      <c r="F59" s="13" t="n">
        <v>65000000</v>
      </c>
      <c r="G59" s="13" t="n">
        <v>10000000</v>
      </c>
      <c r="H59" s="20" t="n">
        <v>107.6</v>
      </c>
      <c r="I59" s="13" t="n">
        <v>13455000</v>
      </c>
      <c r="J59" s="13" t="n">
        <v>13032648</v>
      </c>
      <c r="K59" s="13" t="n">
        <v>0</v>
      </c>
      <c r="L59" s="13" t="n">
        <v>101487648</v>
      </c>
      <c r="M59" s="13" t="n">
        <v>5096000</v>
      </c>
      <c r="N59" s="13" t="n">
        <v>78991648</v>
      </c>
      <c r="O59" s="13" t="n">
        <v>17847494</v>
      </c>
      <c r="P59" s="13" t="n">
        <v>78544154</v>
      </c>
      <c r="Q59" s="13" t="n">
        <v>10244000</v>
      </c>
      <c r="R59" s="13" t="n">
        <v>3000000</v>
      </c>
      <c r="S59" s="13" t="n">
        <v>114731648</v>
      </c>
      <c r="T59" s="13" t="n">
        <v>0</v>
      </c>
    </row>
    <row r="60">
      <c r="A60" s="17" t="inlineStr">
        <is>
          <t>2025-02</t>
        </is>
      </c>
      <c r="B60" s="17" t="inlineStr">
        <is>
          <t>EMP011</t>
        </is>
      </c>
      <c r="C60" s="18" t="inlineStr">
        <is>
          <t>Đặng Văn Lâm</t>
        </is>
      </c>
      <c r="D60" s="18" t="inlineStr">
        <is>
          <t>Giám Đốc Tài Chính Quốc Tế (CFO)</t>
        </is>
      </c>
      <c r="E60" s="17" t="inlineStr">
        <is>
          <t>Tài Chính &amp; Kế Toán</t>
        </is>
      </c>
      <c r="F60" s="10" t="n">
        <v>90000000</v>
      </c>
      <c r="G60" s="10" t="n">
        <v>12000000</v>
      </c>
      <c r="H60" s="19" t="n">
        <v>88.2</v>
      </c>
      <c r="I60" s="10" t="n">
        <v>5535000</v>
      </c>
      <c r="J60" s="10" t="n">
        <v>13635416</v>
      </c>
      <c r="K60" s="10" t="n">
        <v>0</v>
      </c>
      <c r="L60" s="10" t="n">
        <v>121170416</v>
      </c>
      <c r="M60" s="10" t="n">
        <v>5346000</v>
      </c>
      <c r="N60" s="10" t="n">
        <v>94024416</v>
      </c>
      <c r="O60" s="10" t="n">
        <v>23058546</v>
      </c>
      <c r="P60" s="10" t="n">
        <v>92765870</v>
      </c>
      <c r="Q60" s="10" t="n">
        <v>10494000</v>
      </c>
      <c r="R60" s="10" t="n">
        <v>3000000</v>
      </c>
      <c r="S60" s="10" t="n">
        <v>134664416</v>
      </c>
      <c r="T60" s="10" t="n">
        <v>0</v>
      </c>
    </row>
    <row r="61">
      <c r="A61" s="17" t="inlineStr">
        <is>
          <t>2025-02</t>
        </is>
      </c>
      <c r="B61" s="17" t="inlineStr">
        <is>
          <t>EMP012</t>
        </is>
      </c>
      <c r="C61" s="18" t="inlineStr">
        <is>
          <t>Võ Quỳnh Trang</t>
        </is>
      </c>
      <c r="D61" s="18" t="inlineStr">
        <is>
          <t>Giám Đốc Nhân Sự &amp; Tuân Thủ (HR &amp; Compliance Dir.)</t>
        </is>
      </c>
      <c r="E61" s="17" t="inlineStr">
        <is>
          <t>Nhân Sự &amp; Quản Trị</t>
        </is>
      </c>
      <c r="F61" s="13" t="n">
        <v>65000000</v>
      </c>
      <c r="G61" s="13" t="n">
        <v>10000000</v>
      </c>
      <c r="H61" s="20" t="n">
        <v>98</v>
      </c>
      <c r="I61" s="13" t="n">
        <v>8775000</v>
      </c>
      <c r="J61" s="13" t="n">
        <v>7221181</v>
      </c>
      <c r="K61" s="13" t="n">
        <v>0</v>
      </c>
      <c r="L61" s="13" t="n">
        <v>90996181</v>
      </c>
      <c r="M61" s="13" t="n">
        <v>5096000</v>
      </c>
      <c r="N61" s="13" t="n">
        <v>68500181</v>
      </c>
      <c r="O61" s="13" t="n">
        <v>14700054</v>
      </c>
      <c r="P61" s="13" t="n">
        <v>71200127</v>
      </c>
      <c r="Q61" s="13" t="n">
        <v>10244000</v>
      </c>
      <c r="R61" s="13" t="n">
        <v>3000000</v>
      </c>
      <c r="S61" s="13" t="n">
        <v>104240181</v>
      </c>
      <c r="T61" s="13" t="n">
        <v>0</v>
      </c>
    </row>
    <row r="62">
      <c r="A62" s="17" t="inlineStr">
        <is>
          <t>2025-03</t>
        </is>
      </c>
      <c r="B62" s="17" t="inlineStr">
        <is>
          <t>EMP001</t>
        </is>
      </c>
      <c r="C62" s="18" t="inlineStr">
        <is>
          <t>Nguyễn Quốc Hùng</t>
        </is>
      </c>
      <c r="D62" s="18" t="inlineStr">
        <is>
          <t>Tổng Giám Đốc (Managing Director / CEO)</t>
        </is>
      </c>
      <c r="E62" s="17" t="inlineStr">
        <is>
          <t>Điều Hành Chung</t>
        </is>
      </c>
      <c r="F62" s="10" t="n">
        <v>130000000</v>
      </c>
      <c r="G62" s="10" t="n">
        <v>25000000</v>
      </c>
      <c r="H62" s="19" t="n">
        <v>96.09999999999999</v>
      </c>
      <c r="I62" s="10" t="n">
        <v>15697500</v>
      </c>
      <c r="J62" s="10" t="n">
        <v>51621891</v>
      </c>
      <c r="K62" s="10" t="n">
        <v>0</v>
      </c>
      <c r="L62" s="10" t="n">
        <v>222319391</v>
      </c>
      <c r="M62" s="10" t="n">
        <v>5438000</v>
      </c>
      <c r="N62" s="10" t="n">
        <v>195081391</v>
      </c>
      <c r="O62" s="10" t="n">
        <v>58428487</v>
      </c>
      <c r="P62" s="10" t="n">
        <v>158452904</v>
      </c>
      <c r="Q62" s="10" t="n">
        <v>10586000</v>
      </c>
      <c r="R62" s="10" t="n">
        <v>3000000</v>
      </c>
      <c r="S62" s="10" t="n">
        <v>235905391</v>
      </c>
      <c r="T62" s="10" t="n">
        <v>6452736422</v>
      </c>
    </row>
    <row r="63">
      <c r="A63" s="17" t="inlineStr">
        <is>
          <t>2025-03</t>
        </is>
      </c>
      <c r="B63" s="17" t="inlineStr">
        <is>
          <t>EMP002</t>
        </is>
      </c>
      <c r="C63" s="18" t="inlineStr">
        <is>
          <t>Trần Minh Tuấn</t>
        </is>
      </c>
      <c r="D63" s="18" t="inlineStr">
        <is>
          <t>Phó TGĐ Kinh Doanh (Deputy CEO &amp; Head of BD)</t>
        </is>
      </c>
      <c r="E63" s="17" t="inlineStr">
        <is>
          <t>Thương Mại &amp; BD</t>
        </is>
      </c>
      <c r="F63" s="13" t="n">
        <v>105000000</v>
      </c>
      <c r="G63" s="13" t="n">
        <v>20000000</v>
      </c>
      <c r="H63" s="20" t="n">
        <v>110.6</v>
      </c>
      <c r="I63" s="13" t="n">
        <v>24097500</v>
      </c>
      <c r="J63" s="13" t="n">
        <v>57681751</v>
      </c>
      <c r="K63" s="13" t="n">
        <v>10256888</v>
      </c>
      <c r="L63" s="13" t="n">
        <v>217036139</v>
      </c>
      <c r="M63" s="13" t="n">
        <v>5438000</v>
      </c>
      <c r="N63" s="13" t="n">
        <v>189798139</v>
      </c>
      <c r="O63" s="13" t="n">
        <v>56579349</v>
      </c>
      <c r="P63" s="13" t="n">
        <v>155018790</v>
      </c>
      <c r="Q63" s="13" t="n">
        <v>10586000</v>
      </c>
      <c r="R63" s="13" t="n">
        <v>3000000</v>
      </c>
      <c r="S63" s="13" t="n">
        <v>230622139</v>
      </c>
      <c r="T63" s="13" t="n">
        <v>4194278674</v>
      </c>
    </row>
    <row r="64">
      <c r="A64" s="17" t="inlineStr">
        <is>
          <t>2025-03</t>
        </is>
      </c>
      <c r="B64" s="17" t="inlineStr">
        <is>
          <t>EMP003</t>
        </is>
      </c>
      <c r="C64" s="18" t="inlineStr">
        <is>
          <t>LS. Lê Hoàng Nam</t>
        </is>
      </c>
      <c r="D64" s="18" t="inlineStr">
        <is>
          <t>Giám Đốc Pháp Lý &amp; Thụ Lý Hồ Sơ (Legal Director)</t>
        </is>
      </c>
      <c r="E64" s="17" t="inlineStr">
        <is>
          <t>Pháp Lý Di Trú</t>
        </is>
      </c>
      <c r="F64" s="10" t="n">
        <v>95000000</v>
      </c>
      <c r="G64" s="10" t="n">
        <v>15000000</v>
      </c>
      <c r="H64" s="19" t="n">
        <v>104.9</v>
      </c>
      <c r="I64" s="10" t="n">
        <v>17741250</v>
      </c>
      <c r="J64" s="10" t="n">
        <v>26736214</v>
      </c>
      <c r="K64" s="10" t="n">
        <v>6570887</v>
      </c>
      <c r="L64" s="10" t="n">
        <v>161048351</v>
      </c>
      <c r="M64" s="10" t="n">
        <v>5396000</v>
      </c>
      <c r="N64" s="10" t="n">
        <v>138252351</v>
      </c>
      <c r="O64" s="10" t="n">
        <v>38538323</v>
      </c>
      <c r="P64" s="10" t="n">
        <v>117114028</v>
      </c>
      <c r="Q64" s="10" t="n">
        <v>10544000</v>
      </c>
      <c r="R64" s="10" t="n">
        <v>3000000</v>
      </c>
      <c r="S64" s="10" t="n">
        <v>174592351</v>
      </c>
      <c r="T64" s="10" t="n">
        <v>0</v>
      </c>
    </row>
    <row r="65">
      <c r="A65" s="17" t="inlineStr">
        <is>
          <t>2025-03</t>
        </is>
      </c>
      <c r="B65" s="17" t="inlineStr">
        <is>
          <t>EMP004</t>
        </is>
      </c>
      <c r="C65" s="18" t="inlineStr">
        <is>
          <t>Phạm Thanh Hà</t>
        </is>
      </c>
      <c r="D65" s="18" t="inlineStr">
        <is>
          <t>Giám Đốc Thẩm Định Đầu Tư (Investment DD Director)</t>
        </is>
      </c>
      <c r="E65" s="17" t="inlineStr">
        <is>
          <t>Đầu Tư &amp; Thẩm Định</t>
        </is>
      </c>
      <c r="F65" s="13" t="n">
        <v>90000000</v>
      </c>
      <c r="G65" s="13" t="n">
        <v>15000000</v>
      </c>
      <c r="H65" s="20" t="n">
        <v>111.1</v>
      </c>
      <c r="I65" s="13" t="n">
        <v>20992500</v>
      </c>
      <c r="J65" s="13" t="n">
        <v>19580299</v>
      </c>
      <c r="K65" s="13" t="n">
        <v>0</v>
      </c>
      <c r="L65" s="13" t="n">
        <v>145572799</v>
      </c>
      <c r="M65" s="13" t="n">
        <v>5346000</v>
      </c>
      <c r="N65" s="13" t="n">
        <v>122826799</v>
      </c>
      <c r="O65" s="13" t="n">
        <v>33139380</v>
      </c>
      <c r="P65" s="13" t="n">
        <v>107087419</v>
      </c>
      <c r="Q65" s="13" t="n">
        <v>10494000</v>
      </c>
      <c r="R65" s="13" t="n">
        <v>3000000</v>
      </c>
      <c r="S65" s="13" t="n">
        <v>159066799</v>
      </c>
      <c r="T65" s="13" t="n">
        <v>0</v>
      </c>
    </row>
    <row r="66">
      <c r="A66" s="17" t="inlineStr">
        <is>
          <t>2025-03</t>
        </is>
      </c>
      <c r="B66" s="17" t="inlineStr">
        <is>
          <t>EMP005</t>
        </is>
      </c>
      <c r="C66" s="18" t="inlineStr">
        <is>
          <t>Vũ Hải Đăng</t>
        </is>
      </c>
      <c r="D66" s="18" t="inlineStr">
        <is>
          <t>Giám Đốc Khách Hàng VIP (Private Clients Director)</t>
        </is>
      </c>
      <c r="E66" s="17" t="inlineStr">
        <is>
          <t>Thương Mại &amp; BD</t>
        </is>
      </c>
      <c r="F66" s="10" t="n">
        <v>85000000</v>
      </c>
      <c r="G66" s="10" t="n">
        <v>20000000</v>
      </c>
      <c r="H66" s="19" t="n">
        <v>99.90000000000001</v>
      </c>
      <c r="I66" s="10" t="n">
        <v>12686250</v>
      </c>
      <c r="J66" s="10" t="n">
        <v>48103099</v>
      </c>
      <c r="K66" s="10" t="n">
        <v>6865566</v>
      </c>
      <c r="L66" s="10" t="n">
        <v>172654915</v>
      </c>
      <c r="M66" s="10" t="n">
        <v>5296000</v>
      </c>
      <c r="N66" s="10" t="n">
        <v>149958915</v>
      </c>
      <c r="O66" s="10" t="n">
        <v>42635620</v>
      </c>
      <c r="P66" s="10" t="n">
        <v>124723295</v>
      </c>
      <c r="Q66" s="10" t="n">
        <v>10444000</v>
      </c>
      <c r="R66" s="10" t="n">
        <v>3000000</v>
      </c>
      <c r="S66" s="10" t="n">
        <v>186098915</v>
      </c>
      <c r="T66" s="10" t="n">
        <v>2258457748</v>
      </c>
    </row>
    <row r="67">
      <c r="A67" s="17" t="inlineStr">
        <is>
          <t>2025-03</t>
        </is>
      </c>
      <c r="B67" s="17" t="inlineStr">
        <is>
          <t>EMP006</t>
        </is>
      </c>
      <c r="C67" s="18" t="inlineStr">
        <is>
          <t>Đỗ Phương Thảo</t>
        </is>
      </c>
      <c r="D67" s="18" t="inlineStr">
        <is>
          <t>Giám Đốc Marketing &amp; Thương Hiệu (CMO)</t>
        </is>
      </c>
      <c r="E67" s="17" t="inlineStr">
        <is>
          <t>Tiếp Thị &amp; Brand</t>
        </is>
      </c>
      <c r="F67" s="13" t="n">
        <v>80000000</v>
      </c>
      <c r="G67" s="13" t="n">
        <v>12000000</v>
      </c>
      <c r="H67" s="20" t="n">
        <v>88.90000000000001</v>
      </c>
      <c r="I67" s="13" t="n">
        <v>5340000</v>
      </c>
      <c r="J67" s="13" t="n">
        <v>13227121</v>
      </c>
      <c r="K67" s="13" t="n">
        <v>0</v>
      </c>
      <c r="L67" s="13" t="n">
        <v>110567121</v>
      </c>
      <c r="M67" s="13" t="n">
        <v>5246000</v>
      </c>
      <c r="N67" s="13" t="n">
        <v>92321121</v>
      </c>
      <c r="O67" s="13" t="n">
        <v>22462392</v>
      </c>
      <c r="P67" s="13" t="n">
        <v>82858729</v>
      </c>
      <c r="Q67" s="13" t="n">
        <v>10394000</v>
      </c>
      <c r="R67" s="13" t="n">
        <v>3000000</v>
      </c>
      <c r="S67" s="13" t="n">
        <v>123961121</v>
      </c>
      <c r="T67" s="13" t="n">
        <v>0</v>
      </c>
    </row>
    <row r="68">
      <c r="A68" s="17" t="inlineStr">
        <is>
          <t>2025-03</t>
        </is>
      </c>
      <c r="B68" s="17" t="inlineStr">
        <is>
          <t>EMP007</t>
        </is>
      </c>
      <c r="C68" s="18" t="inlineStr">
        <is>
          <t>Hoàng Gia Bách</t>
        </is>
      </c>
      <c r="D68" s="18" t="inlineStr">
        <is>
          <t>Giám Đốc Chi Nhánh Hà Nội (Northern Regional Dir.)</t>
        </is>
      </c>
      <c r="E68" s="17" t="inlineStr">
        <is>
          <t>Khối Chi Nhánh</t>
        </is>
      </c>
      <c r="F68" s="10" t="n">
        <v>85000000</v>
      </c>
      <c r="G68" s="10" t="n">
        <v>15000000</v>
      </c>
      <c r="H68" s="19" t="n">
        <v>100.1</v>
      </c>
      <c r="I68" s="10" t="n">
        <v>12813750</v>
      </c>
      <c r="J68" s="10" t="n">
        <v>36356581</v>
      </c>
      <c r="K68" s="10" t="n">
        <v>5155253</v>
      </c>
      <c r="L68" s="10" t="n">
        <v>154325584</v>
      </c>
      <c r="M68" s="10" t="n">
        <v>5296000</v>
      </c>
      <c r="N68" s="10" t="n">
        <v>127229584</v>
      </c>
      <c r="O68" s="10" t="n">
        <v>34680354</v>
      </c>
      <c r="P68" s="10" t="n">
        <v>114349230</v>
      </c>
      <c r="Q68" s="10" t="n">
        <v>10444000</v>
      </c>
      <c r="R68" s="10" t="n">
        <v>3000000</v>
      </c>
      <c r="S68" s="10" t="n">
        <v>167769584</v>
      </c>
      <c r="T68" s="10" t="n">
        <v>2452039840</v>
      </c>
    </row>
    <row r="69">
      <c r="A69" s="17" t="inlineStr">
        <is>
          <t>2025-03</t>
        </is>
      </c>
      <c r="B69" s="17" t="inlineStr">
        <is>
          <t>EMP008</t>
        </is>
      </c>
      <c r="C69" s="18" t="inlineStr">
        <is>
          <t>Ngô Thị Bích Ngọc</t>
        </is>
      </c>
      <c r="D69" s="18" t="inlineStr">
        <is>
          <t>Giám Đốc Chi Nhánh TP.HCM (Southern Regional Dir.)</t>
        </is>
      </c>
      <c r="E69" s="17" t="inlineStr">
        <is>
          <t>Khối Chi Nhánh</t>
        </is>
      </c>
      <c r="F69" s="13" t="n">
        <v>90000000</v>
      </c>
      <c r="G69" s="13" t="n">
        <v>15000000</v>
      </c>
      <c r="H69" s="20" t="n">
        <v>109.8</v>
      </c>
      <c r="I69" s="13" t="n">
        <v>20115000</v>
      </c>
      <c r="J69" s="13" t="n">
        <v>48266362</v>
      </c>
      <c r="K69" s="13" t="n">
        <v>5875668</v>
      </c>
      <c r="L69" s="13" t="n">
        <v>179257030</v>
      </c>
      <c r="M69" s="13" t="n">
        <v>5346000</v>
      </c>
      <c r="N69" s="13" t="n">
        <v>156511030</v>
      </c>
      <c r="O69" s="13" t="n">
        <v>44928860</v>
      </c>
      <c r="P69" s="13" t="n">
        <v>128982170</v>
      </c>
      <c r="Q69" s="13" t="n">
        <v>10494000</v>
      </c>
      <c r="R69" s="13" t="n">
        <v>3000000</v>
      </c>
      <c r="S69" s="13" t="n">
        <v>192751030</v>
      </c>
      <c r="T69" s="13" t="n">
        <v>3097313483</v>
      </c>
    </row>
    <row r="70">
      <c r="A70" s="17" t="inlineStr">
        <is>
          <t>2025-03</t>
        </is>
      </c>
      <c r="B70" s="17" t="inlineStr">
        <is>
          <t>EMP009</t>
        </is>
      </c>
      <c r="C70" s="18" t="inlineStr">
        <is>
          <t>Trịnh Minh Trí</t>
        </is>
      </c>
      <c r="D70" s="18" t="inlineStr">
        <is>
          <t>Trưởng Ban Đối Ngoại &amp; Lãnh Sự (Head of Consular)</t>
        </is>
      </c>
      <c r="E70" s="17" t="inlineStr">
        <is>
          <t>Đối Ngoại Lãnh Sự</t>
        </is>
      </c>
      <c r="F70" s="10" t="n">
        <v>70000000</v>
      </c>
      <c r="G70" s="10" t="n">
        <v>15000000</v>
      </c>
      <c r="H70" s="19" t="n">
        <v>99.7</v>
      </c>
      <c r="I70" s="10" t="n">
        <v>10342500</v>
      </c>
      <c r="J70" s="10" t="n">
        <v>40482875</v>
      </c>
      <c r="K70" s="10" t="n">
        <v>5518151</v>
      </c>
      <c r="L70" s="10" t="n">
        <v>141343526</v>
      </c>
      <c r="M70" s="10" t="n">
        <v>5146000</v>
      </c>
      <c r="N70" s="10" t="n">
        <v>118797526</v>
      </c>
      <c r="O70" s="10" t="n">
        <v>31729134</v>
      </c>
      <c r="P70" s="10" t="n">
        <v>104468392</v>
      </c>
      <c r="Q70" s="10" t="n">
        <v>10294000</v>
      </c>
      <c r="R70" s="10" t="n">
        <v>3000000</v>
      </c>
      <c r="S70" s="10" t="n">
        <v>154637526</v>
      </c>
      <c r="T70" s="10" t="n">
        <v>0</v>
      </c>
    </row>
    <row r="71">
      <c r="A71" s="17" t="inlineStr">
        <is>
          <t>2025-03</t>
        </is>
      </c>
      <c r="B71" s="17" t="inlineStr">
        <is>
          <t>EMP010</t>
        </is>
      </c>
      <c r="C71" s="18" t="inlineStr">
        <is>
          <t>Bùi Thanh Mai</t>
        </is>
      </c>
      <c r="D71" s="18" t="inlineStr">
        <is>
          <t>Trưởng Ban An Cư (Head of Settlement Operations)</t>
        </is>
      </c>
      <c r="E71" s="17" t="inlineStr">
        <is>
          <t>Vận Hành An Cư</t>
        </is>
      </c>
      <c r="F71" s="13" t="n">
        <v>65000000</v>
      </c>
      <c r="G71" s="13" t="n">
        <v>10000000</v>
      </c>
      <c r="H71" s="20" t="n">
        <v>104.1</v>
      </c>
      <c r="I71" s="13" t="n">
        <v>11748750</v>
      </c>
      <c r="J71" s="13" t="n">
        <v>12130738</v>
      </c>
      <c r="K71" s="13" t="n">
        <v>0</v>
      </c>
      <c r="L71" s="13" t="n">
        <v>98879488</v>
      </c>
      <c r="M71" s="13" t="n">
        <v>5096000</v>
      </c>
      <c r="N71" s="13" t="n">
        <v>76383488</v>
      </c>
      <c r="O71" s="13" t="n">
        <v>17065046</v>
      </c>
      <c r="P71" s="13" t="n">
        <v>76718442</v>
      </c>
      <c r="Q71" s="13" t="n">
        <v>10244000</v>
      </c>
      <c r="R71" s="13" t="n">
        <v>3000000</v>
      </c>
      <c r="S71" s="13" t="n">
        <v>112123488</v>
      </c>
      <c r="T71" s="13" t="n">
        <v>0</v>
      </c>
    </row>
    <row r="72">
      <c r="A72" s="17" t="inlineStr">
        <is>
          <t>2025-03</t>
        </is>
      </c>
      <c r="B72" s="17" t="inlineStr">
        <is>
          <t>EMP011</t>
        </is>
      </c>
      <c r="C72" s="18" t="inlineStr">
        <is>
          <t>Đặng Văn Lâm</t>
        </is>
      </c>
      <c r="D72" s="18" t="inlineStr">
        <is>
          <t>Giám Đốc Tài Chính Quốc Tế (CFO)</t>
        </is>
      </c>
      <c r="E72" s="17" t="inlineStr">
        <is>
          <t>Tài Chính &amp; Kế Toán</t>
        </is>
      </c>
      <c r="F72" s="10" t="n">
        <v>90000000</v>
      </c>
      <c r="G72" s="10" t="n">
        <v>12000000</v>
      </c>
      <c r="H72" s="19" t="n">
        <v>93.7</v>
      </c>
      <c r="I72" s="10" t="n">
        <v>9247500</v>
      </c>
      <c r="J72" s="10" t="n">
        <v>16375526</v>
      </c>
      <c r="K72" s="10" t="n">
        <v>0</v>
      </c>
      <c r="L72" s="10" t="n">
        <v>127623026</v>
      </c>
      <c r="M72" s="10" t="n">
        <v>5346000</v>
      </c>
      <c r="N72" s="10" t="n">
        <v>100477026</v>
      </c>
      <c r="O72" s="10" t="n">
        <v>25316959</v>
      </c>
      <c r="P72" s="10" t="n">
        <v>96960067</v>
      </c>
      <c r="Q72" s="10" t="n">
        <v>10494000</v>
      </c>
      <c r="R72" s="10" t="n">
        <v>3000000</v>
      </c>
      <c r="S72" s="10" t="n">
        <v>141117026</v>
      </c>
      <c r="T72" s="10" t="n">
        <v>0</v>
      </c>
    </row>
    <row r="73">
      <c r="A73" s="17" t="inlineStr">
        <is>
          <t>2025-03</t>
        </is>
      </c>
      <c r="B73" s="17" t="inlineStr">
        <is>
          <t>EMP012</t>
        </is>
      </c>
      <c r="C73" s="18" t="inlineStr">
        <is>
          <t>Võ Quỳnh Trang</t>
        </is>
      </c>
      <c r="D73" s="18" t="inlineStr">
        <is>
          <t>Giám Đốc Nhân Sự &amp; Tuân Thủ (HR &amp; Compliance Dir.)</t>
        </is>
      </c>
      <c r="E73" s="17" t="inlineStr">
        <is>
          <t>Nhân Sự &amp; Quản Trị</t>
        </is>
      </c>
      <c r="F73" s="13" t="n">
        <v>65000000</v>
      </c>
      <c r="G73" s="13" t="n">
        <v>10000000</v>
      </c>
      <c r="H73" s="20" t="n">
        <v>96.8</v>
      </c>
      <c r="I73" s="13" t="n">
        <v>8190000</v>
      </c>
      <c r="J73" s="13" t="n">
        <v>10953983</v>
      </c>
      <c r="K73" s="13" t="n">
        <v>0</v>
      </c>
      <c r="L73" s="13" t="n">
        <v>94143983</v>
      </c>
      <c r="M73" s="13" t="n">
        <v>5096000</v>
      </c>
      <c r="N73" s="13" t="n">
        <v>71647983</v>
      </c>
      <c r="O73" s="13" t="n">
        <v>15644395</v>
      </c>
      <c r="P73" s="13" t="n">
        <v>73403588</v>
      </c>
      <c r="Q73" s="13" t="n">
        <v>10244000</v>
      </c>
      <c r="R73" s="13" t="n">
        <v>3000000</v>
      </c>
      <c r="S73" s="13" t="n">
        <v>107387983</v>
      </c>
      <c r="T73" s="13" t="n">
        <v>0</v>
      </c>
    </row>
    <row r="74">
      <c r="A74" s="17" t="inlineStr">
        <is>
          <t>2025-04</t>
        </is>
      </c>
      <c r="B74" s="17" t="inlineStr">
        <is>
          <t>EMP001</t>
        </is>
      </c>
      <c r="C74" s="18" t="inlineStr">
        <is>
          <t>Nguyễn Quốc Hùng</t>
        </is>
      </c>
      <c r="D74" s="18" t="inlineStr">
        <is>
          <t>Tổng Giám Đốc (Managing Director / CEO)</t>
        </is>
      </c>
      <c r="E74" s="17" t="inlineStr">
        <is>
          <t>Điều Hành Chung</t>
        </is>
      </c>
      <c r="F74" s="10" t="n">
        <v>130000000</v>
      </c>
      <c r="G74" s="10" t="n">
        <v>25000000</v>
      </c>
      <c r="H74" s="19" t="n">
        <v>100.9</v>
      </c>
      <c r="I74" s="10" t="n">
        <v>20377500</v>
      </c>
      <c r="J74" s="10" t="n">
        <v>64244616</v>
      </c>
      <c r="K74" s="10" t="n">
        <v>0</v>
      </c>
      <c r="L74" s="10" t="n">
        <v>239622116</v>
      </c>
      <c r="M74" s="10" t="n">
        <v>5438000</v>
      </c>
      <c r="N74" s="10" t="n">
        <v>212384116</v>
      </c>
      <c r="O74" s="10" t="n">
        <v>64484441</v>
      </c>
      <c r="P74" s="10" t="n">
        <v>169699675</v>
      </c>
      <c r="Q74" s="10" t="n">
        <v>10586000</v>
      </c>
      <c r="R74" s="10" t="n">
        <v>3000000</v>
      </c>
      <c r="S74" s="10" t="n">
        <v>253208116</v>
      </c>
      <c r="T74" s="10" t="n">
        <v>8030577021</v>
      </c>
    </row>
    <row r="75">
      <c r="A75" s="17" t="inlineStr">
        <is>
          <t>2025-04</t>
        </is>
      </c>
      <c r="B75" s="17" t="inlineStr">
        <is>
          <t>EMP002</t>
        </is>
      </c>
      <c r="C75" s="18" t="inlineStr">
        <is>
          <t>Trần Minh Tuấn</t>
        </is>
      </c>
      <c r="D75" s="18" t="inlineStr">
        <is>
          <t>Phó TGĐ Kinh Doanh (Deputy CEO &amp; Head of BD)</t>
        </is>
      </c>
      <c r="E75" s="17" t="inlineStr">
        <is>
          <t>Thương Mại &amp; BD</t>
        </is>
      </c>
      <c r="F75" s="13" t="n">
        <v>105000000</v>
      </c>
      <c r="G75" s="13" t="n">
        <v>20000000</v>
      </c>
      <c r="H75" s="20" t="n">
        <v>90.2</v>
      </c>
      <c r="I75" s="13" t="n">
        <v>8032500</v>
      </c>
      <c r="J75" s="13" t="n">
        <v>75528583</v>
      </c>
      <c r="K75" s="13" t="n">
        <v>38691256</v>
      </c>
      <c r="L75" s="13" t="n">
        <v>247252339</v>
      </c>
      <c r="M75" s="13" t="n">
        <v>5438000</v>
      </c>
      <c r="N75" s="13" t="n">
        <v>220014339</v>
      </c>
      <c r="O75" s="13" t="n">
        <v>67155019</v>
      </c>
      <c r="P75" s="13" t="n">
        <v>174659320</v>
      </c>
      <c r="Q75" s="13" t="n">
        <v>10586000</v>
      </c>
      <c r="R75" s="13" t="n">
        <v>3000000</v>
      </c>
      <c r="S75" s="13" t="n">
        <v>260838339</v>
      </c>
      <c r="T75" s="13" t="n">
        <v>5219875064</v>
      </c>
    </row>
    <row r="76">
      <c r="A76" s="17" t="inlineStr">
        <is>
          <t>2025-04</t>
        </is>
      </c>
      <c r="B76" s="17" t="inlineStr">
        <is>
          <t>EMP003</t>
        </is>
      </c>
      <c r="C76" s="18" t="inlineStr">
        <is>
          <t>LS. Lê Hoàng Nam</t>
        </is>
      </c>
      <c r="D76" s="18" t="inlineStr">
        <is>
          <t>Giám Đốc Pháp Lý &amp; Thụ Lý Hồ Sơ (Legal Director)</t>
        </is>
      </c>
      <c r="E76" s="17" t="inlineStr">
        <is>
          <t>Pháp Lý Di Trú</t>
        </is>
      </c>
      <c r="F76" s="10" t="n">
        <v>95000000</v>
      </c>
      <c r="G76" s="10" t="n">
        <v>15000000</v>
      </c>
      <c r="H76" s="19" t="n">
        <v>92.5</v>
      </c>
      <c r="I76" s="10" t="n">
        <v>8906250</v>
      </c>
      <c r="J76" s="10" t="n">
        <v>21907146</v>
      </c>
      <c r="K76" s="10" t="n">
        <v>13293531</v>
      </c>
      <c r="L76" s="10" t="n">
        <v>154106927</v>
      </c>
      <c r="M76" s="10" t="n">
        <v>5396000</v>
      </c>
      <c r="N76" s="10" t="n">
        <v>131310927</v>
      </c>
      <c r="O76" s="10" t="n">
        <v>36108824</v>
      </c>
      <c r="P76" s="10" t="n">
        <v>112602103</v>
      </c>
      <c r="Q76" s="10" t="n">
        <v>10544000</v>
      </c>
      <c r="R76" s="10" t="n">
        <v>3000000</v>
      </c>
      <c r="S76" s="10" t="n">
        <v>167650927</v>
      </c>
      <c r="T76" s="10" t="n">
        <v>0</v>
      </c>
    </row>
    <row r="77">
      <c r="A77" s="17" t="inlineStr">
        <is>
          <t>2025-04</t>
        </is>
      </c>
      <c r="B77" s="17" t="inlineStr">
        <is>
          <t>EMP004</t>
        </is>
      </c>
      <c r="C77" s="18" t="inlineStr">
        <is>
          <t>Phạm Thanh Hà</t>
        </is>
      </c>
      <c r="D77" s="18" t="inlineStr">
        <is>
          <t>Giám Đốc Thẩm Định Đầu Tư (Investment DD Director)</t>
        </is>
      </c>
      <c r="E77" s="17" t="inlineStr">
        <is>
          <t>Đầu Tư &amp; Thẩm Định</t>
        </is>
      </c>
      <c r="F77" s="13" t="n">
        <v>90000000</v>
      </c>
      <c r="G77" s="13" t="n">
        <v>15000000</v>
      </c>
      <c r="H77" s="20" t="n">
        <v>104.3</v>
      </c>
      <c r="I77" s="13" t="n">
        <v>16402500</v>
      </c>
      <c r="J77" s="13" t="n">
        <v>17415169</v>
      </c>
      <c r="K77" s="13" t="n">
        <v>0</v>
      </c>
      <c r="L77" s="13" t="n">
        <v>138817669</v>
      </c>
      <c r="M77" s="13" t="n">
        <v>5346000</v>
      </c>
      <c r="N77" s="13" t="n">
        <v>116071669</v>
      </c>
      <c r="O77" s="13" t="n">
        <v>30775084</v>
      </c>
      <c r="P77" s="13" t="n">
        <v>102696585</v>
      </c>
      <c r="Q77" s="13" t="n">
        <v>10494000</v>
      </c>
      <c r="R77" s="13" t="n">
        <v>3000000</v>
      </c>
      <c r="S77" s="13" t="n">
        <v>152311669</v>
      </c>
      <c r="T77" s="13" t="n">
        <v>0</v>
      </c>
    </row>
    <row r="78">
      <c r="A78" s="17" t="inlineStr">
        <is>
          <t>2025-04</t>
        </is>
      </c>
      <c r="B78" s="17" t="inlineStr">
        <is>
          <t>EMP005</t>
        </is>
      </c>
      <c r="C78" s="18" t="inlineStr">
        <is>
          <t>Vũ Hải Đăng</t>
        </is>
      </c>
      <c r="D78" s="18" t="inlineStr">
        <is>
          <t>Giám Đốc Khách Hàng VIP (Private Clients Director)</t>
        </is>
      </c>
      <c r="E78" s="17" t="inlineStr">
        <is>
          <t>Thương Mại &amp; BD</t>
        </is>
      </c>
      <c r="F78" s="10" t="n">
        <v>85000000</v>
      </c>
      <c r="G78" s="10" t="n">
        <v>20000000</v>
      </c>
      <c r="H78" s="19" t="n">
        <v>100.3</v>
      </c>
      <c r="I78" s="10" t="n">
        <v>12941250</v>
      </c>
      <c r="J78" s="10" t="n">
        <v>59129482</v>
      </c>
      <c r="K78" s="10" t="n">
        <v>37003849</v>
      </c>
      <c r="L78" s="10" t="n">
        <v>214074581</v>
      </c>
      <c r="M78" s="10" t="n">
        <v>5296000</v>
      </c>
      <c r="N78" s="10" t="n">
        <v>191378581</v>
      </c>
      <c r="O78" s="10" t="n">
        <v>57132503</v>
      </c>
      <c r="P78" s="10" t="n">
        <v>151646078</v>
      </c>
      <c r="Q78" s="10" t="n">
        <v>10444000</v>
      </c>
      <c r="R78" s="10" t="n">
        <v>3000000</v>
      </c>
      <c r="S78" s="10" t="n">
        <v>227518581</v>
      </c>
      <c r="T78" s="10" t="n">
        <v>2810701957</v>
      </c>
    </row>
    <row r="79">
      <c r="A79" s="17" t="inlineStr">
        <is>
          <t>2025-04</t>
        </is>
      </c>
      <c r="B79" s="17" t="inlineStr">
        <is>
          <t>EMP006</t>
        </is>
      </c>
      <c r="C79" s="18" t="inlineStr">
        <is>
          <t>Đỗ Phương Thảo</t>
        </is>
      </c>
      <c r="D79" s="18" t="inlineStr">
        <is>
          <t>Giám Đốc Marketing &amp; Thương Hiệu (CMO)</t>
        </is>
      </c>
      <c r="E79" s="17" t="inlineStr">
        <is>
          <t>Tiếp Thị &amp; Brand</t>
        </is>
      </c>
      <c r="F79" s="13" t="n">
        <v>80000000</v>
      </c>
      <c r="G79" s="13" t="n">
        <v>12000000</v>
      </c>
      <c r="H79" s="20" t="n">
        <v>92.2</v>
      </c>
      <c r="I79" s="13" t="n">
        <v>7320000</v>
      </c>
      <c r="J79" s="13" t="n">
        <v>14138503</v>
      </c>
      <c r="K79" s="13" t="n">
        <v>0</v>
      </c>
      <c r="L79" s="13" t="n">
        <v>113458503</v>
      </c>
      <c r="M79" s="13" t="n">
        <v>5246000</v>
      </c>
      <c r="N79" s="13" t="n">
        <v>95212503</v>
      </c>
      <c r="O79" s="13" t="n">
        <v>23474376</v>
      </c>
      <c r="P79" s="13" t="n">
        <v>84738127</v>
      </c>
      <c r="Q79" s="13" t="n">
        <v>10394000</v>
      </c>
      <c r="R79" s="13" t="n">
        <v>3000000</v>
      </c>
      <c r="S79" s="13" t="n">
        <v>126852503</v>
      </c>
      <c r="T79" s="13" t="n">
        <v>0</v>
      </c>
    </row>
    <row r="80">
      <c r="A80" s="17" t="inlineStr">
        <is>
          <t>2025-04</t>
        </is>
      </c>
      <c r="B80" s="17" t="inlineStr">
        <is>
          <t>EMP007</t>
        </is>
      </c>
      <c r="C80" s="18" t="inlineStr">
        <is>
          <t>Hoàng Gia Bách</t>
        </is>
      </c>
      <c r="D80" s="18" t="inlineStr">
        <is>
          <t>Giám Đốc Chi Nhánh Hà Nội (Northern Regional Dir.)</t>
        </is>
      </c>
      <c r="E80" s="17" t="inlineStr">
        <is>
          <t>Khối Chi Nhánh</t>
        </is>
      </c>
      <c r="F80" s="10" t="n">
        <v>85000000</v>
      </c>
      <c r="G80" s="10" t="n">
        <v>15000000</v>
      </c>
      <c r="H80" s="19" t="n">
        <v>97.3</v>
      </c>
      <c r="I80" s="10" t="n">
        <v>11028750</v>
      </c>
      <c r="J80" s="10" t="n">
        <v>50865606</v>
      </c>
      <c r="K80" s="10" t="n">
        <v>22794523</v>
      </c>
      <c r="L80" s="10" t="n">
        <v>184688879</v>
      </c>
      <c r="M80" s="10" t="n">
        <v>5296000</v>
      </c>
      <c r="N80" s="10" t="n">
        <v>157592879</v>
      </c>
      <c r="O80" s="10" t="n">
        <v>45307508</v>
      </c>
      <c r="P80" s="10" t="n">
        <v>134085371</v>
      </c>
      <c r="Q80" s="10" t="n">
        <v>10444000</v>
      </c>
      <c r="R80" s="10" t="n">
        <v>3000000</v>
      </c>
      <c r="S80" s="10" t="n">
        <v>198132879</v>
      </c>
      <c r="T80" s="10" t="n">
        <v>3051619268</v>
      </c>
    </row>
    <row r="81">
      <c r="A81" s="17" t="inlineStr">
        <is>
          <t>2025-04</t>
        </is>
      </c>
      <c r="B81" s="17" t="inlineStr">
        <is>
          <t>EMP008</t>
        </is>
      </c>
      <c r="C81" s="18" t="inlineStr">
        <is>
          <t>Ngô Thị Bích Ngọc</t>
        </is>
      </c>
      <c r="D81" s="18" t="inlineStr">
        <is>
          <t>Giám Đốc Chi Nhánh TP.HCM (Southern Regional Dir.)</t>
        </is>
      </c>
      <c r="E81" s="17" t="inlineStr">
        <is>
          <t>Khối Chi Nhánh</t>
        </is>
      </c>
      <c r="F81" s="13" t="n">
        <v>90000000</v>
      </c>
      <c r="G81" s="13" t="n">
        <v>15000000</v>
      </c>
      <c r="H81" s="20" t="n">
        <v>96.2</v>
      </c>
      <c r="I81" s="13" t="n">
        <v>10935000</v>
      </c>
      <c r="J81" s="13" t="n">
        <v>59290936</v>
      </c>
      <c r="K81" s="13" t="n">
        <v>42905457</v>
      </c>
      <c r="L81" s="13" t="n">
        <v>218131393</v>
      </c>
      <c r="M81" s="13" t="n">
        <v>5346000</v>
      </c>
      <c r="N81" s="13" t="n">
        <v>195385393</v>
      </c>
      <c r="O81" s="13" t="n">
        <v>58534888</v>
      </c>
      <c r="P81" s="13" t="n">
        <v>154250505</v>
      </c>
      <c r="Q81" s="13" t="n">
        <v>10494000</v>
      </c>
      <c r="R81" s="13" t="n">
        <v>3000000</v>
      </c>
      <c r="S81" s="13" t="n">
        <v>231625393</v>
      </c>
      <c r="T81" s="13" t="n">
        <v>3854676970</v>
      </c>
    </row>
    <row r="82">
      <c r="A82" s="17" t="inlineStr">
        <is>
          <t>2025-04</t>
        </is>
      </c>
      <c r="B82" s="17" t="inlineStr">
        <is>
          <t>EMP009</t>
        </is>
      </c>
      <c r="C82" s="18" t="inlineStr">
        <is>
          <t>Trịnh Minh Trí</t>
        </is>
      </c>
      <c r="D82" s="18" t="inlineStr">
        <is>
          <t>Trưởng Ban Đối Ngoại &amp; Lãnh Sự (Head of Consular)</t>
        </is>
      </c>
      <c r="E82" s="17" t="inlineStr">
        <is>
          <t>Đối Ngoại Lãnh Sự</t>
        </is>
      </c>
      <c r="F82" s="10" t="n">
        <v>70000000</v>
      </c>
      <c r="G82" s="10" t="n">
        <v>15000000</v>
      </c>
      <c r="H82" s="19" t="n">
        <v>109.1</v>
      </c>
      <c r="I82" s="10" t="n">
        <v>15277500</v>
      </c>
      <c r="J82" s="10" t="n">
        <v>27271158</v>
      </c>
      <c r="K82" s="10" t="n">
        <v>17207948</v>
      </c>
      <c r="L82" s="10" t="n">
        <v>144756606</v>
      </c>
      <c r="M82" s="10" t="n">
        <v>5146000</v>
      </c>
      <c r="N82" s="10" t="n">
        <v>122210606</v>
      </c>
      <c r="O82" s="10" t="n">
        <v>32923712</v>
      </c>
      <c r="P82" s="10" t="n">
        <v>106686894</v>
      </c>
      <c r="Q82" s="10" t="n">
        <v>10294000</v>
      </c>
      <c r="R82" s="10" t="n">
        <v>3000000</v>
      </c>
      <c r="S82" s="10" t="n">
        <v>158050606</v>
      </c>
      <c r="T82" s="10" t="n">
        <v>0</v>
      </c>
    </row>
    <row r="83">
      <c r="A83" s="17" t="inlineStr">
        <is>
          <t>2025-04</t>
        </is>
      </c>
      <c r="B83" s="17" t="inlineStr">
        <is>
          <t>EMP010</t>
        </is>
      </c>
      <c r="C83" s="18" t="inlineStr">
        <is>
          <t>Bùi Thanh Mai</t>
        </is>
      </c>
      <c r="D83" s="18" t="inlineStr">
        <is>
          <t>Trưởng Ban An Cư (Head of Settlement Operations)</t>
        </is>
      </c>
      <c r="E83" s="17" t="inlineStr">
        <is>
          <t>Vận Hành An Cư</t>
        </is>
      </c>
      <c r="F83" s="13" t="n">
        <v>65000000</v>
      </c>
      <c r="G83" s="13" t="n">
        <v>10000000</v>
      </c>
      <c r="H83" s="20" t="n">
        <v>107.6</v>
      </c>
      <c r="I83" s="13" t="n">
        <v>13455000</v>
      </c>
      <c r="J83" s="13" t="n">
        <v>10252327</v>
      </c>
      <c r="K83" s="13" t="n">
        <v>0</v>
      </c>
      <c r="L83" s="13" t="n">
        <v>98707327</v>
      </c>
      <c r="M83" s="13" t="n">
        <v>5096000</v>
      </c>
      <c r="N83" s="13" t="n">
        <v>76211327</v>
      </c>
      <c r="O83" s="13" t="n">
        <v>17013398</v>
      </c>
      <c r="P83" s="13" t="n">
        <v>76597929</v>
      </c>
      <c r="Q83" s="13" t="n">
        <v>10244000</v>
      </c>
      <c r="R83" s="13" t="n">
        <v>3000000</v>
      </c>
      <c r="S83" s="13" t="n">
        <v>111951327</v>
      </c>
      <c r="T83" s="13" t="n">
        <v>0</v>
      </c>
    </row>
    <row r="84">
      <c r="A84" s="17" t="inlineStr">
        <is>
          <t>2025-04</t>
        </is>
      </c>
      <c r="B84" s="17" t="inlineStr">
        <is>
          <t>EMP011</t>
        </is>
      </c>
      <c r="C84" s="18" t="inlineStr">
        <is>
          <t>Đặng Văn Lâm</t>
        </is>
      </c>
      <c r="D84" s="18" t="inlineStr">
        <is>
          <t>Giám Đốc Tài Chính Quốc Tế (CFO)</t>
        </is>
      </c>
      <c r="E84" s="17" t="inlineStr">
        <is>
          <t>Tài Chính &amp; Kế Toán</t>
        </is>
      </c>
      <c r="F84" s="10" t="n">
        <v>90000000</v>
      </c>
      <c r="G84" s="10" t="n">
        <v>12000000</v>
      </c>
      <c r="H84" s="19" t="n">
        <v>100.7</v>
      </c>
      <c r="I84" s="10" t="n">
        <v>13972500</v>
      </c>
      <c r="J84" s="10" t="n">
        <v>10247339</v>
      </c>
      <c r="K84" s="10" t="n">
        <v>0</v>
      </c>
      <c r="L84" s="10" t="n">
        <v>126219839</v>
      </c>
      <c r="M84" s="10" t="n">
        <v>5346000</v>
      </c>
      <c r="N84" s="10" t="n">
        <v>99073839</v>
      </c>
      <c r="O84" s="10" t="n">
        <v>24825844</v>
      </c>
      <c r="P84" s="10" t="n">
        <v>96047995</v>
      </c>
      <c r="Q84" s="10" t="n">
        <v>10494000</v>
      </c>
      <c r="R84" s="10" t="n">
        <v>3000000</v>
      </c>
      <c r="S84" s="10" t="n">
        <v>139713839</v>
      </c>
      <c r="T84" s="10" t="n">
        <v>0</v>
      </c>
    </row>
    <row r="85">
      <c r="A85" s="17" t="inlineStr">
        <is>
          <t>2025-04</t>
        </is>
      </c>
      <c r="B85" s="17" t="inlineStr">
        <is>
          <t>EMP012</t>
        </is>
      </c>
      <c r="C85" s="18" t="inlineStr">
        <is>
          <t>Võ Quỳnh Trang</t>
        </is>
      </c>
      <c r="D85" s="18" t="inlineStr">
        <is>
          <t>Giám Đốc Nhân Sự &amp; Tuân Thủ (HR &amp; Compliance Dir.)</t>
        </is>
      </c>
      <c r="E85" s="17" t="inlineStr">
        <is>
          <t>Nhân Sự &amp; Quản Trị</t>
        </is>
      </c>
      <c r="F85" s="13" t="n">
        <v>65000000</v>
      </c>
      <c r="G85" s="13" t="n">
        <v>10000000</v>
      </c>
      <c r="H85" s="20" t="n">
        <v>90.2</v>
      </c>
      <c r="I85" s="13" t="n">
        <v>4972500</v>
      </c>
      <c r="J85" s="13" t="n">
        <v>13364663</v>
      </c>
      <c r="K85" s="13" t="n">
        <v>0</v>
      </c>
      <c r="L85" s="13" t="n">
        <v>93337163</v>
      </c>
      <c r="M85" s="13" t="n">
        <v>5096000</v>
      </c>
      <c r="N85" s="13" t="n">
        <v>70841163</v>
      </c>
      <c r="O85" s="13" t="n">
        <v>15402349</v>
      </c>
      <c r="P85" s="13" t="n">
        <v>72838814</v>
      </c>
      <c r="Q85" s="13" t="n">
        <v>10244000</v>
      </c>
      <c r="R85" s="13" t="n">
        <v>3000000</v>
      </c>
      <c r="S85" s="13" t="n">
        <v>106581163</v>
      </c>
      <c r="T85" s="13" t="n">
        <v>0</v>
      </c>
    </row>
    <row r="86">
      <c r="A86" s="17" t="inlineStr">
        <is>
          <t>2025-05</t>
        </is>
      </c>
      <c r="B86" s="17" t="inlineStr">
        <is>
          <t>EMP001</t>
        </is>
      </c>
      <c r="C86" s="18" t="inlineStr">
        <is>
          <t>Nguyễn Quốc Hùng</t>
        </is>
      </c>
      <c r="D86" s="18" t="inlineStr">
        <is>
          <t>Tổng Giám Đốc (Managing Director / CEO)</t>
        </is>
      </c>
      <c r="E86" s="17" t="inlineStr">
        <is>
          <t>Điều Hành Chung</t>
        </is>
      </c>
      <c r="F86" s="10" t="n">
        <v>130000000</v>
      </c>
      <c r="G86" s="10" t="n">
        <v>25000000</v>
      </c>
      <c r="H86" s="19" t="n">
        <v>103.2</v>
      </c>
      <c r="I86" s="10" t="n">
        <v>22620000</v>
      </c>
      <c r="J86" s="10" t="n">
        <v>71741589</v>
      </c>
      <c r="K86" s="10" t="n">
        <v>0</v>
      </c>
      <c r="L86" s="10" t="n">
        <v>249361589</v>
      </c>
      <c r="M86" s="10" t="n">
        <v>5438000</v>
      </c>
      <c r="N86" s="10" t="n">
        <v>222123589</v>
      </c>
      <c r="O86" s="10" t="n">
        <v>67893256</v>
      </c>
      <c r="P86" s="10" t="n">
        <v>176030333</v>
      </c>
      <c r="Q86" s="10" t="n">
        <v>10586000</v>
      </c>
      <c r="R86" s="10" t="n">
        <v>3000000</v>
      </c>
      <c r="S86" s="10" t="n">
        <v>262947589</v>
      </c>
      <c r="T86" s="10" t="n">
        <v>8967698637</v>
      </c>
    </row>
    <row r="87">
      <c r="A87" s="17" t="inlineStr">
        <is>
          <t>2025-05</t>
        </is>
      </c>
      <c r="B87" s="17" t="inlineStr">
        <is>
          <t>EMP002</t>
        </is>
      </c>
      <c r="C87" s="18" t="inlineStr">
        <is>
          <t>Trần Minh Tuấn</t>
        </is>
      </c>
      <c r="D87" s="18" t="inlineStr">
        <is>
          <t>Phó TGĐ Kinh Doanh (Deputy CEO &amp; Head of BD)</t>
        </is>
      </c>
      <c r="E87" s="17" t="inlineStr">
        <is>
          <t>Thương Mại &amp; BD</t>
        </is>
      </c>
      <c r="F87" s="13" t="n">
        <v>105000000</v>
      </c>
      <c r="G87" s="13" t="n">
        <v>20000000</v>
      </c>
      <c r="H87" s="20" t="n">
        <v>96.09999999999999</v>
      </c>
      <c r="I87" s="13" t="n">
        <v>12678750</v>
      </c>
      <c r="J87" s="13" t="n">
        <v>80375516</v>
      </c>
      <c r="K87" s="13" t="n">
        <v>16789911</v>
      </c>
      <c r="L87" s="13" t="n">
        <v>234844177</v>
      </c>
      <c r="M87" s="13" t="n">
        <v>5438000</v>
      </c>
      <c r="N87" s="13" t="n">
        <v>207606177</v>
      </c>
      <c r="O87" s="13" t="n">
        <v>62812162</v>
      </c>
      <c r="P87" s="13" t="n">
        <v>166594015</v>
      </c>
      <c r="Q87" s="13" t="n">
        <v>10586000</v>
      </c>
      <c r="R87" s="13" t="n">
        <v>3000000</v>
      </c>
      <c r="S87" s="13" t="n">
        <v>248430177</v>
      </c>
      <c r="T87" s="13" t="n">
        <v>5829004114</v>
      </c>
    </row>
    <row r="88">
      <c r="A88" s="17" t="inlineStr">
        <is>
          <t>2025-05</t>
        </is>
      </c>
      <c r="B88" s="17" t="inlineStr">
        <is>
          <t>EMP003</t>
        </is>
      </c>
      <c r="C88" s="18" t="inlineStr">
        <is>
          <t>LS. Lê Hoàng Nam</t>
        </is>
      </c>
      <c r="D88" s="18" t="inlineStr">
        <is>
          <t>Giám Đốc Pháp Lý &amp; Thụ Lý Hồ Sơ (Legal Director)</t>
        </is>
      </c>
      <c r="E88" s="17" t="inlineStr">
        <is>
          <t>Pháp Lý Di Trú</t>
        </is>
      </c>
      <c r="F88" s="10" t="n">
        <v>95000000</v>
      </c>
      <c r="G88" s="10" t="n">
        <v>15000000</v>
      </c>
      <c r="H88" s="19" t="n">
        <v>109.5</v>
      </c>
      <c r="I88" s="10" t="n">
        <v>21018750</v>
      </c>
      <c r="J88" s="10" t="n">
        <v>45064247</v>
      </c>
      <c r="K88" s="10" t="n">
        <v>9778100</v>
      </c>
      <c r="L88" s="10" t="n">
        <v>185861097</v>
      </c>
      <c r="M88" s="10" t="n">
        <v>5396000</v>
      </c>
      <c r="N88" s="10" t="n">
        <v>163065097</v>
      </c>
      <c r="O88" s="10" t="n">
        <v>47222784</v>
      </c>
      <c r="P88" s="10" t="n">
        <v>133242313</v>
      </c>
      <c r="Q88" s="10" t="n">
        <v>10544000</v>
      </c>
      <c r="R88" s="10" t="n">
        <v>3000000</v>
      </c>
      <c r="S88" s="10" t="n">
        <v>199405097</v>
      </c>
      <c r="T88" s="10" t="n">
        <v>0</v>
      </c>
    </row>
    <row r="89">
      <c r="A89" s="17" t="inlineStr">
        <is>
          <t>2025-05</t>
        </is>
      </c>
      <c r="B89" s="17" t="inlineStr">
        <is>
          <t>EMP004</t>
        </is>
      </c>
      <c r="C89" s="18" t="inlineStr">
        <is>
          <t>Phạm Thanh Hà</t>
        </is>
      </c>
      <c r="D89" s="18" t="inlineStr">
        <is>
          <t>Giám Đốc Thẩm Định Đầu Tư (Investment DD Director)</t>
        </is>
      </c>
      <c r="E89" s="17" t="inlineStr">
        <is>
          <t>Đầu Tư &amp; Thẩm Định</t>
        </is>
      </c>
      <c r="F89" s="13" t="n">
        <v>90000000</v>
      </c>
      <c r="G89" s="13" t="n">
        <v>15000000</v>
      </c>
      <c r="H89" s="20" t="n">
        <v>103.4</v>
      </c>
      <c r="I89" s="13" t="n">
        <v>15795000</v>
      </c>
      <c r="J89" s="13" t="n">
        <v>19682799</v>
      </c>
      <c r="K89" s="13" t="n">
        <v>0</v>
      </c>
      <c r="L89" s="13" t="n">
        <v>140477799</v>
      </c>
      <c r="M89" s="13" t="n">
        <v>5346000</v>
      </c>
      <c r="N89" s="13" t="n">
        <v>117731799</v>
      </c>
      <c r="O89" s="13" t="n">
        <v>31356130</v>
      </c>
      <c r="P89" s="13" t="n">
        <v>103775669</v>
      </c>
      <c r="Q89" s="13" t="n">
        <v>10494000</v>
      </c>
      <c r="R89" s="13" t="n">
        <v>3000000</v>
      </c>
      <c r="S89" s="13" t="n">
        <v>153971799</v>
      </c>
      <c r="T89" s="13" t="n">
        <v>0</v>
      </c>
    </row>
    <row r="90">
      <c r="A90" s="17" t="inlineStr">
        <is>
          <t>2025-05</t>
        </is>
      </c>
      <c r="B90" s="17" t="inlineStr">
        <is>
          <t>EMP005</t>
        </is>
      </c>
      <c r="C90" s="18" t="inlineStr">
        <is>
          <t>Vũ Hải Đăng</t>
        </is>
      </c>
      <c r="D90" s="18" t="inlineStr">
        <is>
          <t>Giám Đốc Khách Hàng VIP (Private Clients Director)</t>
        </is>
      </c>
      <c r="E90" s="17" t="inlineStr">
        <is>
          <t>Thương Mại &amp; BD</t>
        </is>
      </c>
      <c r="F90" s="10" t="n">
        <v>85000000</v>
      </c>
      <c r="G90" s="10" t="n">
        <v>20000000</v>
      </c>
      <c r="H90" s="19" t="n">
        <v>91.90000000000001</v>
      </c>
      <c r="I90" s="10" t="n">
        <v>7586250</v>
      </c>
      <c r="J90" s="10" t="n">
        <v>73454588</v>
      </c>
      <c r="K90" s="10" t="n">
        <v>14027208</v>
      </c>
      <c r="L90" s="10" t="n">
        <v>200068046</v>
      </c>
      <c r="M90" s="10" t="n">
        <v>5296000</v>
      </c>
      <c r="N90" s="10" t="n">
        <v>177372046</v>
      </c>
      <c r="O90" s="10" t="n">
        <v>52230216</v>
      </c>
      <c r="P90" s="10" t="n">
        <v>142541830</v>
      </c>
      <c r="Q90" s="10" t="n">
        <v>10444000</v>
      </c>
      <c r="R90" s="10" t="n">
        <v>3000000</v>
      </c>
      <c r="S90" s="10" t="n">
        <v>213512046</v>
      </c>
      <c r="T90" s="10" t="n">
        <v>3138694523</v>
      </c>
    </row>
    <row r="91">
      <c r="A91" s="17" t="inlineStr">
        <is>
          <t>2025-05</t>
        </is>
      </c>
      <c r="B91" s="17" t="inlineStr">
        <is>
          <t>EMP006</t>
        </is>
      </c>
      <c r="C91" s="18" t="inlineStr">
        <is>
          <t>Đỗ Phương Thảo</t>
        </is>
      </c>
      <c r="D91" s="18" t="inlineStr">
        <is>
          <t>Giám Đốc Marketing &amp; Thương Hiệu (CMO)</t>
        </is>
      </c>
      <c r="E91" s="17" t="inlineStr">
        <is>
          <t>Tiếp Thị &amp; Brand</t>
        </is>
      </c>
      <c r="F91" s="13" t="n">
        <v>80000000</v>
      </c>
      <c r="G91" s="13" t="n">
        <v>12000000</v>
      </c>
      <c r="H91" s="20" t="n">
        <v>88.2</v>
      </c>
      <c r="I91" s="13" t="n">
        <v>4920000</v>
      </c>
      <c r="J91" s="13" t="n">
        <v>7536481</v>
      </c>
      <c r="K91" s="13" t="n">
        <v>0</v>
      </c>
      <c r="L91" s="13" t="n">
        <v>104456481</v>
      </c>
      <c r="M91" s="13" t="n">
        <v>5246000</v>
      </c>
      <c r="N91" s="13" t="n">
        <v>86210481</v>
      </c>
      <c r="O91" s="13" t="n">
        <v>20323668</v>
      </c>
      <c r="P91" s="13" t="n">
        <v>78886813</v>
      </c>
      <c r="Q91" s="13" t="n">
        <v>10394000</v>
      </c>
      <c r="R91" s="13" t="n">
        <v>3000000</v>
      </c>
      <c r="S91" s="13" t="n">
        <v>117850481</v>
      </c>
      <c r="T91" s="13" t="n">
        <v>0</v>
      </c>
    </row>
    <row r="92">
      <c r="A92" s="17" t="inlineStr">
        <is>
          <t>2025-05</t>
        </is>
      </c>
      <c r="B92" s="17" t="inlineStr">
        <is>
          <t>EMP007</t>
        </is>
      </c>
      <c r="C92" s="18" t="inlineStr">
        <is>
          <t>Hoàng Gia Bách</t>
        </is>
      </c>
      <c r="D92" s="18" t="inlineStr">
        <is>
          <t>Giám Đốc Chi Nhánh Hà Nội (Northern Regional Dir.)</t>
        </is>
      </c>
      <c r="E92" s="17" t="inlineStr">
        <is>
          <t>Khối Chi Nhánh</t>
        </is>
      </c>
      <c r="F92" s="10" t="n">
        <v>85000000</v>
      </c>
      <c r="G92" s="10" t="n">
        <v>15000000</v>
      </c>
      <c r="H92" s="19" t="n">
        <v>103.9</v>
      </c>
      <c r="I92" s="10" t="n">
        <v>15236250</v>
      </c>
      <c r="J92" s="10" t="n">
        <v>50197596</v>
      </c>
      <c r="K92" s="10" t="n">
        <v>6230586</v>
      </c>
      <c r="L92" s="10" t="n">
        <v>171664432</v>
      </c>
      <c r="M92" s="10" t="n">
        <v>5296000</v>
      </c>
      <c r="N92" s="10" t="n">
        <v>144568432</v>
      </c>
      <c r="O92" s="10" t="n">
        <v>40748951</v>
      </c>
      <c r="P92" s="10" t="n">
        <v>125619481</v>
      </c>
      <c r="Q92" s="10" t="n">
        <v>10444000</v>
      </c>
      <c r="R92" s="10" t="n">
        <v>3000000</v>
      </c>
      <c r="S92" s="10" t="n">
        <v>185108432</v>
      </c>
      <c r="T92" s="10" t="n">
        <v>3407725482</v>
      </c>
    </row>
    <row r="93">
      <c r="A93" s="17" t="inlineStr">
        <is>
          <t>2025-05</t>
        </is>
      </c>
      <c r="B93" s="17" t="inlineStr">
        <is>
          <t>EMP008</t>
        </is>
      </c>
      <c r="C93" s="18" t="inlineStr">
        <is>
          <t>Ngô Thị Bích Ngọc</t>
        </is>
      </c>
      <c r="D93" s="18" t="inlineStr">
        <is>
          <t>Giám Đốc Chi Nhánh TP.HCM (Southern Regional Dir.)</t>
        </is>
      </c>
      <c r="E93" s="17" t="inlineStr">
        <is>
          <t>Khối Chi Nhánh</t>
        </is>
      </c>
      <c r="F93" s="13" t="n">
        <v>90000000</v>
      </c>
      <c r="G93" s="13" t="n">
        <v>15000000</v>
      </c>
      <c r="H93" s="20" t="n">
        <v>101.2</v>
      </c>
      <c r="I93" s="13" t="n">
        <v>14310000</v>
      </c>
      <c r="J93" s="13" t="n">
        <v>70193545</v>
      </c>
      <c r="K93" s="13" t="n">
        <v>13883875</v>
      </c>
      <c r="L93" s="13" t="n">
        <v>203387420</v>
      </c>
      <c r="M93" s="13" t="n">
        <v>5346000</v>
      </c>
      <c r="N93" s="13" t="n">
        <v>180641420</v>
      </c>
      <c r="O93" s="13" t="n">
        <v>53374497</v>
      </c>
      <c r="P93" s="13" t="n">
        <v>144666923</v>
      </c>
      <c r="Q93" s="13" t="n">
        <v>10494000</v>
      </c>
      <c r="R93" s="13" t="n">
        <v>3000000</v>
      </c>
      <c r="S93" s="13" t="n">
        <v>216881420</v>
      </c>
      <c r="T93" s="13" t="n">
        <v>4304495346</v>
      </c>
    </row>
    <row r="94">
      <c r="A94" s="17" t="inlineStr">
        <is>
          <t>2025-05</t>
        </is>
      </c>
      <c r="B94" s="17" t="inlineStr">
        <is>
          <t>EMP009</t>
        </is>
      </c>
      <c r="C94" s="18" t="inlineStr">
        <is>
          <t>Trịnh Minh Trí</t>
        </is>
      </c>
      <c r="D94" s="18" t="inlineStr">
        <is>
          <t>Trưởng Ban Đối Ngoại &amp; Lãnh Sự (Head of Consular)</t>
        </is>
      </c>
      <c r="E94" s="17" t="inlineStr">
        <is>
          <t>Đối Ngoại Lãnh Sự</t>
        </is>
      </c>
      <c r="F94" s="10" t="n">
        <v>70000000</v>
      </c>
      <c r="G94" s="10" t="n">
        <v>15000000</v>
      </c>
      <c r="H94" s="19" t="n">
        <v>93.40000000000001</v>
      </c>
      <c r="I94" s="10" t="n">
        <v>7035000</v>
      </c>
      <c r="J94" s="10" t="n">
        <v>40516660</v>
      </c>
      <c r="K94" s="10" t="n">
        <v>5493547</v>
      </c>
      <c r="L94" s="10" t="n">
        <v>138045207</v>
      </c>
      <c r="M94" s="10" t="n">
        <v>5146000</v>
      </c>
      <c r="N94" s="10" t="n">
        <v>115499207</v>
      </c>
      <c r="O94" s="10" t="n">
        <v>30574722</v>
      </c>
      <c r="P94" s="10" t="n">
        <v>102324485</v>
      </c>
      <c r="Q94" s="10" t="n">
        <v>10294000</v>
      </c>
      <c r="R94" s="10" t="n">
        <v>3000000</v>
      </c>
      <c r="S94" s="10" t="n">
        <v>151339207</v>
      </c>
      <c r="T94" s="10" t="n">
        <v>0</v>
      </c>
    </row>
    <row r="95">
      <c r="A95" s="17" t="inlineStr">
        <is>
          <t>2025-05</t>
        </is>
      </c>
      <c r="B95" s="17" t="inlineStr">
        <is>
          <t>EMP010</t>
        </is>
      </c>
      <c r="C95" s="18" t="inlineStr">
        <is>
          <t>Bùi Thanh Mai</t>
        </is>
      </c>
      <c r="D95" s="18" t="inlineStr">
        <is>
          <t>Trưởng Ban An Cư (Head of Settlement Operations)</t>
        </is>
      </c>
      <c r="E95" s="17" t="inlineStr">
        <is>
          <t>Vận Hành An Cư</t>
        </is>
      </c>
      <c r="F95" s="13" t="n">
        <v>65000000</v>
      </c>
      <c r="G95" s="13" t="n">
        <v>10000000</v>
      </c>
      <c r="H95" s="20" t="n">
        <v>95.8</v>
      </c>
      <c r="I95" s="13" t="n">
        <v>7702500</v>
      </c>
      <c r="J95" s="13" t="n">
        <v>11993072</v>
      </c>
      <c r="K95" s="13" t="n">
        <v>0</v>
      </c>
      <c r="L95" s="13" t="n">
        <v>94695572</v>
      </c>
      <c r="M95" s="13" t="n">
        <v>5096000</v>
      </c>
      <c r="N95" s="13" t="n">
        <v>72199572</v>
      </c>
      <c r="O95" s="13" t="n">
        <v>15809872</v>
      </c>
      <c r="P95" s="13" t="n">
        <v>73789700</v>
      </c>
      <c r="Q95" s="13" t="n">
        <v>10244000</v>
      </c>
      <c r="R95" s="13" t="n">
        <v>3000000</v>
      </c>
      <c r="S95" s="13" t="n">
        <v>107939572</v>
      </c>
      <c r="T95" s="13" t="n">
        <v>0</v>
      </c>
    </row>
    <row r="96">
      <c r="A96" s="17" t="inlineStr">
        <is>
          <t>2025-05</t>
        </is>
      </c>
      <c r="B96" s="17" t="inlineStr">
        <is>
          <t>EMP011</t>
        </is>
      </c>
      <c r="C96" s="18" t="inlineStr">
        <is>
          <t>Đặng Văn Lâm</t>
        </is>
      </c>
      <c r="D96" s="18" t="inlineStr">
        <is>
          <t>Giám Đốc Tài Chính Quốc Tế (CFO)</t>
        </is>
      </c>
      <c r="E96" s="17" t="inlineStr">
        <is>
          <t>Tài Chính &amp; Kế Toán</t>
        </is>
      </c>
      <c r="F96" s="10" t="n">
        <v>90000000</v>
      </c>
      <c r="G96" s="10" t="n">
        <v>12000000</v>
      </c>
      <c r="H96" s="19" t="n">
        <v>103.6</v>
      </c>
      <c r="I96" s="10" t="n">
        <v>15930000</v>
      </c>
      <c r="J96" s="10" t="n">
        <v>17900215</v>
      </c>
      <c r="K96" s="10" t="n">
        <v>0</v>
      </c>
      <c r="L96" s="10" t="n">
        <v>135830215</v>
      </c>
      <c r="M96" s="10" t="n">
        <v>5346000</v>
      </c>
      <c r="N96" s="10" t="n">
        <v>108684215</v>
      </c>
      <c r="O96" s="10" t="n">
        <v>28189475</v>
      </c>
      <c r="P96" s="10" t="n">
        <v>102294740</v>
      </c>
      <c r="Q96" s="10" t="n">
        <v>10494000</v>
      </c>
      <c r="R96" s="10" t="n">
        <v>3000000</v>
      </c>
      <c r="S96" s="10" t="n">
        <v>149324215</v>
      </c>
      <c r="T96" s="10" t="n">
        <v>0</v>
      </c>
    </row>
    <row r="97">
      <c r="A97" s="17" t="inlineStr">
        <is>
          <t>2025-05</t>
        </is>
      </c>
      <c r="B97" s="17" t="inlineStr">
        <is>
          <t>EMP012</t>
        </is>
      </c>
      <c r="C97" s="18" t="inlineStr">
        <is>
          <t>Võ Quỳnh Trang</t>
        </is>
      </c>
      <c r="D97" s="18" t="inlineStr">
        <is>
          <t>Giám Đốc Nhân Sự &amp; Tuân Thủ (HR &amp; Compliance Dir.)</t>
        </is>
      </c>
      <c r="E97" s="17" t="inlineStr">
        <is>
          <t>Nhân Sự &amp; Quản Trị</t>
        </is>
      </c>
      <c r="F97" s="13" t="n">
        <v>65000000</v>
      </c>
      <c r="G97" s="13" t="n">
        <v>10000000</v>
      </c>
      <c r="H97" s="20" t="n">
        <v>103.8</v>
      </c>
      <c r="I97" s="13" t="n">
        <v>11602500</v>
      </c>
      <c r="J97" s="13" t="n">
        <v>10371608</v>
      </c>
      <c r="K97" s="13" t="n">
        <v>0</v>
      </c>
      <c r="L97" s="13" t="n">
        <v>96974108</v>
      </c>
      <c r="M97" s="13" t="n">
        <v>5096000</v>
      </c>
      <c r="N97" s="13" t="n">
        <v>74478108</v>
      </c>
      <c r="O97" s="13" t="n">
        <v>16493432</v>
      </c>
      <c r="P97" s="13" t="n">
        <v>75384676</v>
      </c>
      <c r="Q97" s="13" t="n">
        <v>10244000</v>
      </c>
      <c r="R97" s="13" t="n">
        <v>3000000</v>
      </c>
      <c r="S97" s="13" t="n">
        <v>110218108</v>
      </c>
      <c r="T97" s="13" t="n">
        <v>0</v>
      </c>
    </row>
    <row r="98">
      <c r="A98" s="17" t="inlineStr">
        <is>
          <t>2025-06</t>
        </is>
      </c>
      <c r="B98" s="17" t="inlineStr">
        <is>
          <t>EMP001</t>
        </is>
      </c>
      <c r="C98" s="18" t="inlineStr">
        <is>
          <t>Nguyễn Quốc Hùng</t>
        </is>
      </c>
      <c r="D98" s="18" t="inlineStr">
        <is>
          <t>Tổng Giám Đốc (Managing Director / CEO)</t>
        </is>
      </c>
      <c r="E98" s="17" t="inlineStr">
        <is>
          <t>Điều Hành Chung</t>
        </is>
      </c>
      <c r="F98" s="10" t="n">
        <v>130000000</v>
      </c>
      <c r="G98" s="10" t="n">
        <v>25000000</v>
      </c>
      <c r="H98" s="19" t="n">
        <v>96.8</v>
      </c>
      <c r="I98" s="10" t="n">
        <v>16380000</v>
      </c>
      <c r="J98" s="10" t="n">
        <v>66104944</v>
      </c>
      <c r="K98" s="10" t="n">
        <v>104000000</v>
      </c>
      <c r="L98" s="10" t="n">
        <v>341484944</v>
      </c>
      <c r="M98" s="10" t="n">
        <v>5438000</v>
      </c>
      <c r="N98" s="10" t="n">
        <v>314246944</v>
      </c>
      <c r="O98" s="10" t="n">
        <v>100136430</v>
      </c>
      <c r="P98" s="10" t="n">
        <v>235910514</v>
      </c>
      <c r="Q98" s="10" t="n">
        <v>10586000</v>
      </c>
      <c r="R98" s="10" t="n">
        <v>3000000</v>
      </c>
      <c r="S98" s="10" t="n">
        <v>355070944</v>
      </c>
      <c r="T98" s="10" t="n">
        <v>8263118061</v>
      </c>
    </row>
    <row r="99">
      <c r="A99" s="17" t="inlineStr">
        <is>
          <t>2025-06</t>
        </is>
      </c>
      <c r="B99" s="17" t="inlineStr">
        <is>
          <t>EMP002</t>
        </is>
      </c>
      <c r="C99" s="18" t="inlineStr">
        <is>
          <t>Trần Minh Tuấn</t>
        </is>
      </c>
      <c r="D99" s="18" t="inlineStr">
        <is>
          <t>Phó TGĐ Kinh Doanh (Deputy CEO &amp; Head of BD)</t>
        </is>
      </c>
      <c r="E99" s="17" t="inlineStr">
        <is>
          <t>Thương Mại &amp; BD</t>
        </is>
      </c>
      <c r="F99" s="13" t="n">
        <v>105000000</v>
      </c>
      <c r="G99" s="13" t="n">
        <v>20000000</v>
      </c>
      <c r="H99" s="20" t="n">
        <v>94.40000000000001</v>
      </c>
      <c r="I99" s="13" t="n">
        <v>11340000</v>
      </c>
      <c r="J99" s="13" t="n">
        <v>73269321</v>
      </c>
      <c r="K99" s="13" t="n">
        <v>18020706</v>
      </c>
      <c r="L99" s="13" t="n">
        <v>227630027</v>
      </c>
      <c r="M99" s="13" t="n">
        <v>5438000</v>
      </c>
      <c r="N99" s="13" t="n">
        <v>200392027</v>
      </c>
      <c r="O99" s="13" t="n">
        <v>60287209</v>
      </c>
      <c r="P99" s="13" t="n">
        <v>161904818</v>
      </c>
      <c r="Q99" s="13" t="n">
        <v>10586000</v>
      </c>
      <c r="R99" s="13" t="n">
        <v>3000000</v>
      </c>
      <c r="S99" s="13" t="n">
        <v>241216027</v>
      </c>
      <c r="T99" s="13" t="n">
        <v>5371026740</v>
      </c>
    </row>
    <row r="100">
      <c r="A100" s="17" t="inlineStr">
        <is>
          <t>2025-06</t>
        </is>
      </c>
      <c r="B100" s="17" t="inlineStr">
        <is>
          <t>EMP003</t>
        </is>
      </c>
      <c r="C100" s="18" t="inlineStr">
        <is>
          <t>LS. Lê Hoàng Nam</t>
        </is>
      </c>
      <c r="D100" s="18" t="inlineStr">
        <is>
          <t>Giám Đốc Pháp Lý &amp; Thụ Lý Hồ Sơ (Legal Director)</t>
        </is>
      </c>
      <c r="E100" s="17" t="inlineStr">
        <is>
          <t>Pháp Lý Di Trú</t>
        </is>
      </c>
      <c r="F100" s="10" t="n">
        <v>95000000</v>
      </c>
      <c r="G100" s="10" t="n">
        <v>15000000</v>
      </c>
      <c r="H100" s="19" t="n">
        <v>97.40000000000001</v>
      </c>
      <c r="I100" s="10" t="n">
        <v>12397500</v>
      </c>
      <c r="J100" s="10" t="n">
        <v>47452871</v>
      </c>
      <c r="K100" s="10" t="n">
        <v>9237688</v>
      </c>
      <c r="L100" s="10" t="n">
        <v>179088059</v>
      </c>
      <c r="M100" s="10" t="n">
        <v>5396000</v>
      </c>
      <c r="N100" s="10" t="n">
        <v>156292059</v>
      </c>
      <c r="O100" s="10" t="n">
        <v>44852221</v>
      </c>
      <c r="P100" s="10" t="n">
        <v>128839838</v>
      </c>
      <c r="Q100" s="10" t="n">
        <v>10544000</v>
      </c>
      <c r="R100" s="10" t="n">
        <v>3000000</v>
      </c>
      <c r="S100" s="10" t="n">
        <v>192632059</v>
      </c>
      <c r="T100" s="10" t="n">
        <v>0</v>
      </c>
    </row>
    <row r="101">
      <c r="A101" s="17" t="inlineStr">
        <is>
          <t>2025-06</t>
        </is>
      </c>
      <c r="B101" s="17" t="inlineStr">
        <is>
          <t>EMP004</t>
        </is>
      </c>
      <c r="C101" s="18" t="inlineStr">
        <is>
          <t>Phạm Thanh Hà</t>
        </is>
      </c>
      <c r="D101" s="18" t="inlineStr">
        <is>
          <t>Giám Đốc Thẩm Định Đầu Tư (Investment DD Director)</t>
        </is>
      </c>
      <c r="E101" s="17" t="inlineStr">
        <is>
          <t>Đầu Tư &amp; Thẩm Định</t>
        </is>
      </c>
      <c r="F101" s="13" t="n">
        <v>90000000</v>
      </c>
      <c r="G101" s="13" t="n">
        <v>15000000</v>
      </c>
      <c r="H101" s="20" t="n">
        <v>107.1</v>
      </c>
      <c r="I101" s="13" t="n">
        <v>18292500</v>
      </c>
      <c r="J101" s="13" t="n">
        <v>29455379</v>
      </c>
      <c r="K101" s="13" t="n">
        <v>0</v>
      </c>
      <c r="L101" s="13" t="n">
        <v>152747879</v>
      </c>
      <c r="M101" s="13" t="n">
        <v>5346000</v>
      </c>
      <c r="N101" s="13" t="n">
        <v>130001879</v>
      </c>
      <c r="O101" s="13" t="n">
        <v>35650658</v>
      </c>
      <c r="P101" s="13" t="n">
        <v>111751221</v>
      </c>
      <c r="Q101" s="13" t="n">
        <v>10494000</v>
      </c>
      <c r="R101" s="13" t="n">
        <v>3000000</v>
      </c>
      <c r="S101" s="13" t="n">
        <v>166241879</v>
      </c>
      <c r="T101" s="13" t="n">
        <v>0</v>
      </c>
    </row>
    <row r="102">
      <c r="A102" s="17" t="inlineStr">
        <is>
          <t>2025-06</t>
        </is>
      </c>
      <c r="B102" s="17" t="inlineStr">
        <is>
          <t>EMP005</t>
        </is>
      </c>
      <c r="C102" s="18" t="inlineStr">
        <is>
          <t>Vũ Hải Đăng</t>
        </is>
      </c>
      <c r="D102" s="18" t="inlineStr">
        <is>
          <t>Giám Đốc Khách Hàng VIP (Private Clients Director)</t>
        </is>
      </c>
      <c r="E102" s="17" t="inlineStr">
        <is>
          <t>Thương Mại &amp; BD</t>
        </is>
      </c>
      <c r="F102" s="10" t="n">
        <v>85000000</v>
      </c>
      <c r="G102" s="10" t="n">
        <v>20000000</v>
      </c>
      <c r="H102" s="19" t="n">
        <v>101.8</v>
      </c>
      <c r="I102" s="10" t="n">
        <v>13897500</v>
      </c>
      <c r="J102" s="10" t="n">
        <v>63549838</v>
      </c>
      <c r="K102" s="10" t="n">
        <v>8216133</v>
      </c>
      <c r="L102" s="10" t="n">
        <v>190663471</v>
      </c>
      <c r="M102" s="10" t="n">
        <v>5296000</v>
      </c>
      <c r="N102" s="10" t="n">
        <v>167967471</v>
      </c>
      <c r="O102" s="10" t="n">
        <v>48938615</v>
      </c>
      <c r="P102" s="10" t="n">
        <v>136428856</v>
      </c>
      <c r="Q102" s="10" t="n">
        <v>10444000</v>
      </c>
      <c r="R102" s="10" t="n">
        <v>3000000</v>
      </c>
      <c r="S102" s="10" t="n">
        <v>204107471</v>
      </c>
      <c r="T102" s="10" t="n">
        <v>2892091321</v>
      </c>
    </row>
    <row r="103">
      <c r="A103" s="17" t="inlineStr">
        <is>
          <t>2025-06</t>
        </is>
      </c>
      <c r="B103" s="17" t="inlineStr">
        <is>
          <t>EMP006</t>
        </is>
      </c>
      <c r="C103" s="18" t="inlineStr">
        <is>
          <t>Đỗ Phương Thảo</t>
        </is>
      </c>
      <c r="D103" s="18" t="inlineStr">
        <is>
          <t>Giám Đốc Marketing &amp; Thương Hiệu (CMO)</t>
        </is>
      </c>
      <c r="E103" s="17" t="inlineStr">
        <is>
          <t>Tiếp Thị &amp; Brand</t>
        </is>
      </c>
      <c r="F103" s="13" t="n">
        <v>80000000</v>
      </c>
      <c r="G103" s="13" t="n">
        <v>12000000</v>
      </c>
      <c r="H103" s="20" t="n">
        <v>105.3</v>
      </c>
      <c r="I103" s="13" t="n">
        <v>15180000</v>
      </c>
      <c r="J103" s="13" t="n">
        <v>9544650</v>
      </c>
      <c r="K103" s="13" t="n">
        <v>0</v>
      </c>
      <c r="L103" s="13" t="n">
        <v>116724650</v>
      </c>
      <c r="M103" s="13" t="n">
        <v>5246000</v>
      </c>
      <c r="N103" s="13" t="n">
        <v>98478650</v>
      </c>
      <c r="O103" s="13" t="n">
        <v>24617528</v>
      </c>
      <c r="P103" s="13" t="n">
        <v>86861122</v>
      </c>
      <c r="Q103" s="13" t="n">
        <v>10394000</v>
      </c>
      <c r="R103" s="13" t="n">
        <v>3000000</v>
      </c>
      <c r="S103" s="13" t="n">
        <v>130118650</v>
      </c>
      <c r="T103" s="13" t="n">
        <v>0</v>
      </c>
    </row>
    <row r="104">
      <c r="A104" s="17" t="inlineStr">
        <is>
          <t>2025-06</t>
        </is>
      </c>
      <c r="B104" s="17" t="inlineStr">
        <is>
          <t>EMP007</t>
        </is>
      </c>
      <c r="C104" s="18" t="inlineStr">
        <is>
          <t>Hoàng Gia Bách</t>
        </is>
      </c>
      <c r="D104" s="18" t="inlineStr">
        <is>
          <t>Giám Đốc Chi Nhánh Hà Nội (Northern Regional Dir.)</t>
        </is>
      </c>
      <c r="E104" s="17" t="inlineStr">
        <is>
          <t>Khối Chi Nhánh</t>
        </is>
      </c>
      <c r="F104" s="10" t="n">
        <v>85000000</v>
      </c>
      <c r="G104" s="10" t="n">
        <v>15000000</v>
      </c>
      <c r="H104" s="19" t="n">
        <v>88.59999999999999</v>
      </c>
      <c r="I104" s="10" t="n">
        <v>5482500</v>
      </c>
      <c r="J104" s="10" t="n">
        <v>50436266</v>
      </c>
      <c r="K104" s="10" t="n">
        <v>6383547</v>
      </c>
      <c r="L104" s="10" t="n">
        <v>162302313</v>
      </c>
      <c r="M104" s="10" t="n">
        <v>5296000</v>
      </c>
      <c r="N104" s="10" t="n">
        <v>135206313</v>
      </c>
      <c r="O104" s="10" t="n">
        <v>37472210</v>
      </c>
      <c r="P104" s="10" t="n">
        <v>119534103</v>
      </c>
      <c r="Q104" s="10" t="n">
        <v>10444000</v>
      </c>
      <c r="R104" s="10" t="n">
        <v>3000000</v>
      </c>
      <c r="S104" s="10" t="n">
        <v>175746313</v>
      </c>
      <c r="T104" s="10" t="n">
        <v>3139984863</v>
      </c>
    </row>
    <row r="105">
      <c r="A105" s="17" t="inlineStr">
        <is>
          <t>2025-06</t>
        </is>
      </c>
      <c r="B105" s="17" t="inlineStr">
        <is>
          <t>EMP008</t>
        </is>
      </c>
      <c r="C105" s="18" t="inlineStr">
        <is>
          <t>Ngô Thị Bích Ngọc</t>
        </is>
      </c>
      <c r="D105" s="18" t="inlineStr">
        <is>
          <t>Giám Đốc Chi Nhánh TP.HCM (Southern Regional Dir.)</t>
        </is>
      </c>
      <c r="E105" s="17" t="inlineStr">
        <is>
          <t>Khối Chi Nhánh</t>
        </is>
      </c>
      <c r="F105" s="13" t="n">
        <v>90000000</v>
      </c>
      <c r="G105" s="13" t="n">
        <v>15000000</v>
      </c>
      <c r="H105" s="20" t="n">
        <v>110.6</v>
      </c>
      <c r="I105" s="13" t="n">
        <v>20655000</v>
      </c>
      <c r="J105" s="13" t="n">
        <v>66341411</v>
      </c>
      <c r="K105" s="13" t="n">
        <v>15738150</v>
      </c>
      <c r="L105" s="13" t="n">
        <v>207734561</v>
      </c>
      <c r="M105" s="13" t="n">
        <v>5346000</v>
      </c>
      <c r="N105" s="13" t="n">
        <v>184988561</v>
      </c>
      <c r="O105" s="13" t="n">
        <v>54895996</v>
      </c>
      <c r="P105" s="13" t="n">
        <v>147492565</v>
      </c>
      <c r="Q105" s="13" t="n">
        <v>10494000</v>
      </c>
      <c r="R105" s="13" t="n">
        <v>3000000</v>
      </c>
      <c r="S105" s="13" t="n">
        <v>221228561</v>
      </c>
      <c r="T105" s="13" t="n">
        <v>3966296669</v>
      </c>
    </row>
    <row r="106">
      <c r="A106" s="17" t="inlineStr">
        <is>
          <t>2025-06</t>
        </is>
      </c>
      <c r="B106" s="17" t="inlineStr">
        <is>
          <t>EMP009</t>
        </is>
      </c>
      <c r="C106" s="18" t="inlineStr">
        <is>
          <t>Trịnh Minh Trí</t>
        </is>
      </c>
      <c r="D106" s="18" t="inlineStr">
        <is>
          <t>Trưởng Ban Đối Ngoại &amp; Lãnh Sự (Head of Consular)</t>
        </is>
      </c>
      <c r="E106" s="17" t="inlineStr">
        <is>
          <t>Đối Ngoại Lãnh Sự</t>
        </is>
      </c>
      <c r="F106" s="10" t="n">
        <v>70000000</v>
      </c>
      <c r="G106" s="10" t="n">
        <v>15000000</v>
      </c>
      <c r="H106" s="19" t="n">
        <v>96.90000000000001</v>
      </c>
      <c r="I106" s="10" t="n">
        <v>8872500</v>
      </c>
      <c r="J106" s="10" t="n">
        <v>23521966</v>
      </c>
      <c r="K106" s="10" t="n">
        <v>5627578</v>
      </c>
      <c r="L106" s="10" t="n">
        <v>123022044</v>
      </c>
      <c r="M106" s="10" t="n">
        <v>5146000</v>
      </c>
      <c r="N106" s="10" t="n">
        <v>100476044</v>
      </c>
      <c r="O106" s="10" t="n">
        <v>25316615</v>
      </c>
      <c r="P106" s="10" t="n">
        <v>92559429</v>
      </c>
      <c r="Q106" s="10" t="n">
        <v>10294000</v>
      </c>
      <c r="R106" s="10" t="n">
        <v>3000000</v>
      </c>
      <c r="S106" s="10" t="n">
        <v>136316044</v>
      </c>
      <c r="T106" s="10" t="n">
        <v>0</v>
      </c>
    </row>
    <row r="107">
      <c r="A107" s="17" t="inlineStr">
        <is>
          <t>2025-06</t>
        </is>
      </c>
      <c r="B107" s="17" t="inlineStr">
        <is>
          <t>EMP010</t>
        </is>
      </c>
      <c r="C107" s="18" t="inlineStr">
        <is>
          <t>Bùi Thanh Mai</t>
        </is>
      </c>
      <c r="D107" s="18" t="inlineStr">
        <is>
          <t>Trưởng Ban An Cư (Head of Settlement Operations)</t>
        </is>
      </c>
      <c r="E107" s="17" t="inlineStr">
        <is>
          <t>Vận Hành An Cư</t>
        </is>
      </c>
      <c r="F107" s="13" t="n">
        <v>65000000</v>
      </c>
      <c r="G107" s="13" t="n">
        <v>10000000</v>
      </c>
      <c r="H107" s="20" t="n">
        <v>98.3</v>
      </c>
      <c r="I107" s="13" t="n">
        <v>8921250</v>
      </c>
      <c r="J107" s="13" t="n">
        <v>13996559</v>
      </c>
      <c r="K107" s="13" t="n">
        <v>0</v>
      </c>
      <c r="L107" s="13" t="n">
        <v>97917809</v>
      </c>
      <c r="M107" s="13" t="n">
        <v>5096000</v>
      </c>
      <c r="N107" s="13" t="n">
        <v>75421809</v>
      </c>
      <c r="O107" s="13" t="n">
        <v>16776543</v>
      </c>
      <c r="P107" s="13" t="n">
        <v>76045266</v>
      </c>
      <c r="Q107" s="13" t="n">
        <v>10244000</v>
      </c>
      <c r="R107" s="13" t="n">
        <v>3000000</v>
      </c>
      <c r="S107" s="13" t="n">
        <v>111161809</v>
      </c>
      <c r="T107" s="13" t="n">
        <v>0</v>
      </c>
    </row>
    <row r="108">
      <c r="A108" s="17" t="inlineStr">
        <is>
          <t>2025-06</t>
        </is>
      </c>
      <c r="B108" s="17" t="inlineStr">
        <is>
          <t>EMP011</t>
        </is>
      </c>
      <c r="C108" s="18" t="inlineStr">
        <is>
          <t>Đặng Văn Lâm</t>
        </is>
      </c>
      <c r="D108" s="18" t="inlineStr">
        <is>
          <t>Giám Đốc Tài Chính Quốc Tế (CFO)</t>
        </is>
      </c>
      <c r="E108" s="17" t="inlineStr">
        <is>
          <t>Tài Chính &amp; Kế Toán</t>
        </is>
      </c>
      <c r="F108" s="10" t="n">
        <v>90000000</v>
      </c>
      <c r="G108" s="10" t="n">
        <v>12000000</v>
      </c>
      <c r="H108" s="19" t="n">
        <v>111.1</v>
      </c>
      <c r="I108" s="10" t="n">
        <v>20992500</v>
      </c>
      <c r="J108" s="10" t="n">
        <v>17947919</v>
      </c>
      <c r="K108" s="10" t="n">
        <v>0</v>
      </c>
      <c r="L108" s="10" t="n">
        <v>140940419</v>
      </c>
      <c r="M108" s="10" t="n">
        <v>5346000</v>
      </c>
      <c r="N108" s="10" t="n">
        <v>113794419</v>
      </c>
      <c r="O108" s="10" t="n">
        <v>29978047</v>
      </c>
      <c r="P108" s="10" t="n">
        <v>105616372</v>
      </c>
      <c r="Q108" s="10" t="n">
        <v>10494000</v>
      </c>
      <c r="R108" s="10" t="n">
        <v>3000000</v>
      </c>
      <c r="S108" s="10" t="n">
        <v>154434419</v>
      </c>
      <c r="T108" s="10" t="n">
        <v>0</v>
      </c>
    </row>
    <row r="109">
      <c r="A109" s="17" t="inlineStr">
        <is>
          <t>2025-06</t>
        </is>
      </c>
      <c r="B109" s="17" t="inlineStr">
        <is>
          <t>EMP012</t>
        </is>
      </c>
      <c r="C109" s="18" t="inlineStr">
        <is>
          <t>Võ Quỳnh Trang</t>
        </is>
      </c>
      <c r="D109" s="18" t="inlineStr">
        <is>
          <t>Giám Đốc Nhân Sự &amp; Tuân Thủ (HR &amp; Compliance Dir.)</t>
        </is>
      </c>
      <c r="E109" s="17" t="inlineStr">
        <is>
          <t>Nhân Sự &amp; Quản Trị</t>
        </is>
      </c>
      <c r="F109" s="13" t="n">
        <v>65000000</v>
      </c>
      <c r="G109" s="13" t="n">
        <v>10000000</v>
      </c>
      <c r="H109" s="20" t="n">
        <v>95.09999999999999</v>
      </c>
      <c r="I109" s="13" t="n">
        <v>7361250</v>
      </c>
      <c r="J109" s="13" t="n">
        <v>8704389</v>
      </c>
      <c r="K109" s="13" t="n">
        <v>0</v>
      </c>
      <c r="L109" s="13" t="n">
        <v>91065639</v>
      </c>
      <c r="M109" s="13" t="n">
        <v>5096000</v>
      </c>
      <c r="N109" s="13" t="n">
        <v>68569639</v>
      </c>
      <c r="O109" s="13" t="n">
        <v>14720892</v>
      </c>
      <c r="P109" s="13" t="n">
        <v>71248747</v>
      </c>
      <c r="Q109" s="13" t="n">
        <v>10244000</v>
      </c>
      <c r="R109" s="13" t="n">
        <v>3000000</v>
      </c>
      <c r="S109" s="13" t="n">
        <v>104309639</v>
      </c>
      <c r="T109" s="13" t="n">
        <v>0</v>
      </c>
    </row>
    <row r="110">
      <c r="A110" s="17" t="inlineStr">
        <is>
          <t>2025-07</t>
        </is>
      </c>
      <c r="B110" s="17" t="inlineStr">
        <is>
          <t>EMP001</t>
        </is>
      </c>
      <c r="C110" s="18" t="inlineStr">
        <is>
          <t>Nguyễn Quốc Hùng</t>
        </is>
      </c>
      <c r="D110" s="18" t="inlineStr">
        <is>
          <t>Tổng Giám Đốc (Managing Director / CEO)</t>
        </is>
      </c>
      <c r="E110" s="17" t="inlineStr">
        <is>
          <t>Điều Hành Chung</t>
        </is>
      </c>
      <c r="F110" s="10" t="n">
        <v>130000000</v>
      </c>
      <c r="G110" s="10" t="n">
        <v>25000000</v>
      </c>
      <c r="H110" s="19" t="n">
        <v>95.59999999999999</v>
      </c>
      <c r="I110" s="10" t="n">
        <v>15210000</v>
      </c>
      <c r="J110" s="10" t="n">
        <v>91356542</v>
      </c>
      <c r="K110" s="10" t="n">
        <v>0</v>
      </c>
      <c r="L110" s="10" t="n">
        <v>261566542</v>
      </c>
      <c r="M110" s="10" t="n">
        <v>5438000</v>
      </c>
      <c r="N110" s="10" t="n">
        <v>234328542</v>
      </c>
      <c r="O110" s="10" t="n">
        <v>72164990</v>
      </c>
      <c r="P110" s="10" t="n">
        <v>183963552</v>
      </c>
      <c r="Q110" s="10" t="n">
        <v>10586000</v>
      </c>
      <c r="R110" s="10" t="n">
        <v>3000000</v>
      </c>
      <c r="S110" s="10" t="n">
        <v>275152542</v>
      </c>
      <c r="T110" s="10" t="n">
        <v>11419567706</v>
      </c>
    </row>
    <row r="111">
      <c r="A111" s="17" t="inlineStr">
        <is>
          <t>2025-07</t>
        </is>
      </c>
      <c r="B111" s="17" t="inlineStr">
        <is>
          <t>EMP002</t>
        </is>
      </c>
      <c r="C111" s="18" t="inlineStr">
        <is>
          <t>Trần Minh Tuấn</t>
        </is>
      </c>
      <c r="D111" s="18" t="inlineStr">
        <is>
          <t>Phó TGĐ Kinh Doanh (Deputy CEO &amp; Head of BD)</t>
        </is>
      </c>
      <c r="E111" s="17" t="inlineStr">
        <is>
          <t>Thương Mại &amp; BD</t>
        </is>
      </c>
      <c r="F111" s="13" t="n">
        <v>105000000</v>
      </c>
      <c r="G111" s="13" t="n">
        <v>20000000</v>
      </c>
      <c r="H111" s="20" t="n">
        <v>92.09999999999999</v>
      </c>
      <c r="I111" s="13" t="n">
        <v>9528750</v>
      </c>
      <c r="J111" s="13" t="n">
        <v>104508334</v>
      </c>
      <c r="K111" s="13" t="n">
        <v>76045925</v>
      </c>
      <c r="L111" s="13" t="n">
        <v>315083009</v>
      </c>
      <c r="M111" s="13" t="n">
        <v>5438000</v>
      </c>
      <c r="N111" s="13" t="n">
        <v>287845009</v>
      </c>
      <c r="O111" s="13" t="n">
        <v>90895753</v>
      </c>
      <c r="P111" s="13" t="n">
        <v>218749256</v>
      </c>
      <c r="Q111" s="13" t="n">
        <v>10586000</v>
      </c>
      <c r="R111" s="13" t="n">
        <v>3000000</v>
      </c>
      <c r="S111" s="13" t="n">
        <v>328669009</v>
      </c>
      <c r="T111" s="13" t="n">
        <v>7422719009</v>
      </c>
    </row>
    <row r="112">
      <c r="A112" s="17" t="inlineStr">
        <is>
          <t>2025-07</t>
        </is>
      </c>
      <c r="B112" s="17" t="inlineStr">
        <is>
          <t>EMP003</t>
        </is>
      </c>
      <c r="C112" s="18" t="inlineStr">
        <is>
          <t>LS. Lê Hoàng Nam</t>
        </is>
      </c>
      <c r="D112" s="18" t="inlineStr">
        <is>
          <t>Giám Đốc Pháp Lý &amp; Thụ Lý Hồ Sơ (Legal Director)</t>
        </is>
      </c>
      <c r="E112" s="17" t="inlineStr">
        <is>
          <t>Pháp Lý Di Trú</t>
        </is>
      </c>
      <c r="F112" s="10" t="n">
        <v>95000000</v>
      </c>
      <c r="G112" s="10" t="n">
        <v>15000000</v>
      </c>
      <c r="H112" s="19" t="n">
        <v>104.7</v>
      </c>
      <c r="I112" s="10" t="n">
        <v>17598750</v>
      </c>
      <c r="J112" s="10" t="n">
        <v>46026988</v>
      </c>
      <c r="K112" s="10" t="n">
        <v>19976255</v>
      </c>
      <c r="L112" s="10" t="n">
        <v>193601993</v>
      </c>
      <c r="M112" s="10" t="n">
        <v>5396000</v>
      </c>
      <c r="N112" s="10" t="n">
        <v>170805993</v>
      </c>
      <c r="O112" s="10" t="n">
        <v>49932098</v>
      </c>
      <c r="P112" s="10" t="n">
        <v>138273895</v>
      </c>
      <c r="Q112" s="10" t="n">
        <v>10544000</v>
      </c>
      <c r="R112" s="10" t="n">
        <v>3000000</v>
      </c>
      <c r="S112" s="10" t="n">
        <v>207145993</v>
      </c>
      <c r="T112" s="10" t="n">
        <v>0</v>
      </c>
    </row>
    <row r="113">
      <c r="A113" s="17" t="inlineStr">
        <is>
          <t>2025-07</t>
        </is>
      </c>
      <c r="B113" s="17" t="inlineStr">
        <is>
          <t>EMP004</t>
        </is>
      </c>
      <c r="C113" s="18" t="inlineStr">
        <is>
          <t>Phạm Thanh Hà</t>
        </is>
      </c>
      <c r="D113" s="18" t="inlineStr">
        <is>
          <t>Giám Đốc Thẩm Định Đầu Tư (Investment DD Director)</t>
        </is>
      </c>
      <c r="E113" s="17" t="inlineStr">
        <is>
          <t>Đầu Tư &amp; Thẩm Định</t>
        </is>
      </c>
      <c r="F113" s="13" t="n">
        <v>90000000</v>
      </c>
      <c r="G113" s="13" t="n">
        <v>15000000</v>
      </c>
      <c r="H113" s="20" t="n">
        <v>102.8</v>
      </c>
      <c r="I113" s="13" t="n">
        <v>15390000</v>
      </c>
      <c r="J113" s="13" t="n">
        <v>47251346</v>
      </c>
      <c r="K113" s="13" t="n">
        <v>0</v>
      </c>
      <c r="L113" s="13" t="n">
        <v>167641346</v>
      </c>
      <c r="M113" s="13" t="n">
        <v>5346000</v>
      </c>
      <c r="N113" s="13" t="n">
        <v>144895346</v>
      </c>
      <c r="O113" s="13" t="n">
        <v>40863371</v>
      </c>
      <c r="P113" s="13" t="n">
        <v>121431975</v>
      </c>
      <c r="Q113" s="13" t="n">
        <v>10494000</v>
      </c>
      <c r="R113" s="13" t="n">
        <v>3000000</v>
      </c>
      <c r="S113" s="13" t="n">
        <v>181135346</v>
      </c>
      <c r="T113" s="13" t="n">
        <v>0</v>
      </c>
    </row>
    <row r="114">
      <c r="A114" s="17" t="inlineStr">
        <is>
          <t>2025-07</t>
        </is>
      </c>
      <c r="B114" s="17" t="inlineStr">
        <is>
          <t>EMP005</t>
        </is>
      </c>
      <c r="C114" s="18" t="inlineStr">
        <is>
          <t>Vũ Hải Đăng</t>
        </is>
      </c>
      <c r="D114" s="18" t="inlineStr">
        <is>
          <t>Giám Đốc Khách Hàng VIP (Private Clients Director)</t>
        </is>
      </c>
      <c r="E114" s="17" t="inlineStr">
        <is>
          <t>Thương Mại &amp; BD</t>
        </is>
      </c>
      <c r="F114" s="10" t="n">
        <v>85000000</v>
      </c>
      <c r="G114" s="10" t="n">
        <v>20000000</v>
      </c>
      <c r="H114" s="19" t="n">
        <v>91.40000000000001</v>
      </c>
      <c r="I114" s="10" t="n">
        <v>7267500</v>
      </c>
      <c r="J114" s="10" t="n">
        <v>88188550</v>
      </c>
      <c r="K114" s="10" t="n">
        <v>62356411</v>
      </c>
      <c r="L114" s="10" t="n">
        <v>262812461</v>
      </c>
      <c r="M114" s="10" t="n">
        <v>5296000</v>
      </c>
      <c r="N114" s="10" t="n">
        <v>240116461</v>
      </c>
      <c r="O114" s="10" t="n">
        <v>74190761</v>
      </c>
      <c r="P114" s="10" t="n">
        <v>183325700</v>
      </c>
      <c r="Q114" s="10" t="n">
        <v>10444000</v>
      </c>
      <c r="R114" s="10" t="n">
        <v>3000000</v>
      </c>
      <c r="S114" s="10" t="n">
        <v>276256461</v>
      </c>
      <c r="T114" s="10" t="n">
        <v>3996848697</v>
      </c>
    </row>
    <row r="115">
      <c r="A115" s="17" t="inlineStr">
        <is>
          <t>2025-07</t>
        </is>
      </c>
      <c r="B115" s="17" t="inlineStr">
        <is>
          <t>EMP006</t>
        </is>
      </c>
      <c r="C115" s="18" t="inlineStr">
        <is>
          <t>Đỗ Phương Thảo</t>
        </is>
      </c>
      <c r="D115" s="18" t="inlineStr">
        <is>
          <t>Giám Đốc Marketing &amp; Thương Hiệu (CMO)</t>
        </is>
      </c>
      <c r="E115" s="17" t="inlineStr">
        <is>
          <t>Tiếp Thị &amp; Brand</t>
        </is>
      </c>
      <c r="F115" s="13" t="n">
        <v>80000000</v>
      </c>
      <c r="G115" s="13" t="n">
        <v>12000000</v>
      </c>
      <c r="H115" s="20" t="n">
        <v>105.8</v>
      </c>
      <c r="I115" s="13" t="n">
        <v>15480000</v>
      </c>
      <c r="J115" s="13" t="n">
        <v>14206576</v>
      </c>
      <c r="K115" s="13" t="n">
        <v>0</v>
      </c>
      <c r="L115" s="13" t="n">
        <v>121686576</v>
      </c>
      <c r="M115" s="13" t="n">
        <v>5246000</v>
      </c>
      <c r="N115" s="13" t="n">
        <v>103440576</v>
      </c>
      <c r="O115" s="13" t="n">
        <v>26354202</v>
      </c>
      <c r="P115" s="13" t="n">
        <v>90086374</v>
      </c>
      <c r="Q115" s="13" t="n">
        <v>10394000</v>
      </c>
      <c r="R115" s="13" t="n">
        <v>3000000</v>
      </c>
      <c r="S115" s="13" t="n">
        <v>135080576</v>
      </c>
      <c r="T115" s="13" t="n">
        <v>0</v>
      </c>
    </row>
    <row r="116">
      <c r="A116" s="17" t="inlineStr">
        <is>
          <t>2025-07</t>
        </is>
      </c>
      <c r="B116" s="17" t="inlineStr">
        <is>
          <t>EMP007</t>
        </is>
      </c>
      <c r="C116" s="18" t="inlineStr">
        <is>
          <t>Hoàng Gia Bách</t>
        </is>
      </c>
      <c r="D116" s="18" t="inlineStr">
        <is>
          <t>Giám Đốc Chi Nhánh Hà Nội (Northern Regional Dir.)</t>
        </is>
      </c>
      <c r="E116" s="17" t="inlineStr">
        <is>
          <t>Khối Chi Nhánh</t>
        </is>
      </c>
      <c r="F116" s="10" t="n">
        <v>85000000</v>
      </c>
      <c r="G116" s="10" t="n">
        <v>15000000</v>
      </c>
      <c r="H116" s="19" t="n">
        <v>104.9</v>
      </c>
      <c r="I116" s="10" t="n">
        <v>15873750</v>
      </c>
      <c r="J116" s="10" t="n">
        <v>67121271</v>
      </c>
      <c r="K116" s="10" t="n">
        <v>33745699</v>
      </c>
      <c r="L116" s="10" t="n">
        <v>216740720</v>
      </c>
      <c r="M116" s="10" t="n">
        <v>5296000</v>
      </c>
      <c r="N116" s="10" t="n">
        <v>189644720</v>
      </c>
      <c r="O116" s="10" t="n">
        <v>56525652</v>
      </c>
      <c r="P116" s="10" t="n">
        <v>154919068</v>
      </c>
      <c r="Q116" s="10" t="n">
        <v>10444000</v>
      </c>
      <c r="R116" s="10" t="n">
        <v>3000000</v>
      </c>
      <c r="S116" s="10" t="n">
        <v>230184720</v>
      </c>
      <c r="T116" s="10" t="n">
        <v>4339435728</v>
      </c>
    </row>
    <row r="117">
      <c r="A117" s="17" t="inlineStr">
        <is>
          <t>2025-07</t>
        </is>
      </c>
      <c r="B117" s="17" t="inlineStr">
        <is>
          <t>EMP008</t>
        </is>
      </c>
      <c r="C117" s="18" t="inlineStr">
        <is>
          <t>Ngô Thị Bích Ngọc</t>
        </is>
      </c>
      <c r="D117" s="18" t="inlineStr">
        <is>
          <t>Giám Đốc Chi Nhánh TP.HCM (Southern Regional Dir.)</t>
        </is>
      </c>
      <c r="E117" s="17" t="inlineStr">
        <is>
          <t>Khối Chi Nhánh</t>
        </is>
      </c>
      <c r="F117" s="13" t="n">
        <v>90000000</v>
      </c>
      <c r="G117" s="13" t="n">
        <v>15000000</v>
      </c>
      <c r="H117" s="20" t="n">
        <v>107.4</v>
      </c>
      <c r="I117" s="13" t="n">
        <v>18495000</v>
      </c>
      <c r="J117" s="13" t="n">
        <v>90422045</v>
      </c>
      <c r="K117" s="13" t="n">
        <v>63609676</v>
      </c>
      <c r="L117" s="13" t="n">
        <v>277526721</v>
      </c>
      <c r="M117" s="13" t="n">
        <v>5346000</v>
      </c>
      <c r="N117" s="13" t="n">
        <v>254780721</v>
      </c>
      <c r="O117" s="13" t="n">
        <v>79323252</v>
      </c>
      <c r="P117" s="13" t="n">
        <v>192857469</v>
      </c>
      <c r="Q117" s="13" t="n">
        <v>10494000</v>
      </c>
      <c r="R117" s="13" t="n">
        <v>3000000</v>
      </c>
      <c r="S117" s="13" t="n">
        <v>291020721</v>
      </c>
      <c r="T117" s="13" t="n">
        <v>5481392499</v>
      </c>
    </row>
    <row r="118">
      <c r="A118" s="17" t="inlineStr">
        <is>
          <t>2025-07</t>
        </is>
      </c>
      <c r="B118" s="17" t="inlineStr">
        <is>
          <t>EMP009</t>
        </is>
      </c>
      <c r="C118" s="18" t="inlineStr">
        <is>
          <t>Trịnh Minh Trí</t>
        </is>
      </c>
      <c r="D118" s="18" t="inlineStr">
        <is>
          <t>Trưởng Ban Đối Ngoại &amp; Lãnh Sự (Head of Consular)</t>
        </is>
      </c>
      <c r="E118" s="17" t="inlineStr">
        <is>
          <t>Đối Ngoại Lãnh Sự</t>
        </is>
      </c>
      <c r="F118" s="10" t="n">
        <v>70000000</v>
      </c>
      <c r="G118" s="10" t="n">
        <v>15000000</v>
      </c>
      <c r="H118" s="19" t="n">
        <v>109.9</v>
      </c>
      <c r="I118" s="10" t="n">
        <v>15697500</v>
      </c>
      <c r="J118" s="10" t="n">
        <v>44118628</v>
      </c>
      <c r="K118" s="10" t="n">
        <v>25391625</v>
      </c>
      <c r="L118" s="10" t="n">
        <v>170207753</v>
      </c>
      <c r="M118" s="10" t="n">
        <v>5146000</v>
      </c>
      <c r="N118" s="10" t="n">
        <v>147661753</v>
      </c>
      <c r="O118" s="10" t="n">
        <v>41831614</v>
      </c>
      <c r="P118" s="10" t="n">
        <v>123230139</v>
      </c>
      <c r="Q118" s="10" t="n">
        <v>10294000</v>
      </c>
      <c r="R118" s="10" t="n">
        <v>3000000</v>
      </c>
      <c r="S118" s="10" t="n">
        <v>183501753</v>
      </c>
      <c r="T118" s="10" t="n">
        <v>0</v>
      </c>
    </row>
    <row r="119">
      <c r="A119" s="17" t="inlineStr">
        <is>
          <t>2025-07</t>
        </is>
      </c>
      <c r="B119" s="17" t="inlineStr">
        <is>
          <t>EMP010</t>
        </is>
      </c>
      <c r="C119" s="18" t="inlineStr">
        <is>
          <t>Bùi Thanh Mai</t>
        </is>
      </c>
      <c r="D119" s="18" t="inlineStr">
        <is>
          <t>Trưởng Ban An Cư (Head of Settlement Operations)</t>
        </is>
      </c>
      <c r="E119" s="17" t="inlineStr">
        <is>
          <t>Vận Hành An Cư</t>
        </is>
      </c>
      <c r="F119" s="13" t="n">
        <v>65000000</v>
      </c>
      <c r="G119" s="13" t="n">
        <v>10000000</v>
      </c>
      <c r="H119" s="20" t="n">
        <v>107.2</v>
      </c>
      <c r="I119" s="13" t="n">
        <v>13260000</v>
      </c>
      <c r="J119" s="13" t="n">
        <v>11114672</v>
      </c>
      <c r="K119" s="13" t="n">
        <v>0</v>
      </c>
      <c r="L119" s="13" t="n">
        <v>99374672</v>
      </c>
      <c r="M119" s="13" t="n">
        <v>5096000</v>
      </c>
      <c r="N119" s="13" t="n">
        <v>76878672</v>
      </c>
      <c r="O119" s="13" t="n">
        <v>17213602</v>
      </c>
      <c r="P119" s="13" t="n">
        <v>77065070</v>
      </c>
      <c r="Q119" s="13" t="n">
        <v>10244000</v>
      </c>
      <c r="R119" s="13" t="n">
        <v>3000000</v>
      </c>
      <c r="S119" s="13" t="n">
        <v>112618672</v>
      </c>
      <c r="T119" s="13" t="n">
        <v>0</v>
      </c>
    </row>
    <row r="120">
      <c r="A120" s="17" t="inlineStr">
        <is>
          <t>2025-07</t>
        </is>
      </c>
      <c r="B120" s="17" t="inlineStr">
        <is>
          <t>EMP011</t>
        </is>
      </c>
      <c r="C120" s="18" t="inlineStr">
        <is>
          <t>Đặng Văn Lâm</t>
        </is>
      </c>
      <c r="D120" s="18" t="inlineStr">
        <is>
          <t>Giám Đốc Tài Chính Quốc Tế (CFO)</t>
        </is>
      </c>
      <c r="E120" s="17" t="inlineStr">
        <is>
          <t>Tài Chính &amp; Kế Toán</t>
        </is>
      </c>
      <c r="F120" s="10" t="n">
        <v>90000000</v>
      </c>
      <c r="G120" s="10" t="n">
        <v>12000000</v>
      </c>
      <c r="H120" s="19" t="n">
        <v>104.8</v>
      </c>
      <c r="I120" s="10" t="n">
        <v>16740000</v>
      </c>
      <c r="J120" s="10" t="n">
        <v>17226988</v>
      </c>
      <c r="K120" s="10" t="n">
        <v>0</v>
      </c>
      <c r="L120" s="10" t="n">
        <v>135966988</v>
      </c>
      <c r="M120" s="10" t="n">
        <v>5346000</v>
      </c>
      <c r="N120" s="10" t="n">
        <v>108820988</v>
      </c>
      <c r="O120" s="10" t="n">
        <v>28237346</v>
      </c>
      <c r="P120" s="10" t="n">
        <v>102383642</v>
      </c>
      <c r="Q120" s="10" t="n">
        <v>10494000</v>
      </c>
      <c r="R120" s="10" t="n">
        <v>3000000</v>
      </c>
      <c r="S120" s="10" t="n">
        <v>149460988</v>
      </c>
      <c r="T120" s="10" t="n">
        <v>0</v>
      </c>
    </row>
    <row r="121">
      <c r="A121" s="17" t="inlineStr">
        <is>
          <t>2025-07</t>
        </is>
      </c>
      <c r="B121" s="17" t="inlineStr">
        <is>
          <t>EMP012</t>
        </is>
      </c>
      <c r="C121" s="18" t="inlineStr">
        <is>
          <t>Võ Quỳnh Trang</t>
        </is>
      </c>
      <c r="D121" s="18" t="inlineStr">
        <is>
          <t>Giám Đốc Nhân Sự &amp; Tuân Thủ (HR &amp; Compliance Dir.)</t>
        </is>
      </c>
      <c r="E121" s="17" t="inlineStr">
        <is>
          <t>Nhân Sự &amp; Quản Trị</t>
        </is>
      </c>
      <c r="F121" s="13" t="n">
        <v>65000000</v>
      </c>
      <c r="G121" s="13" t="n">
        <v>10000000</v>
      </c>
      <c r="H121" s="20" t="n">
        <v>109.4</v>
      </c>
      <c r="I121" s="13" t="n">
        <v>14332500</v>
      </c>
      <c r="J121" s="13" t="n">
        <v>8275756</v>
      </c>
      <c r="K121" s="13" t="n">
        <v>0</v>
      </c>
      <c r="L121" s="13" t="n">
        <v>97608256</v>
      </c>
      <c r="M121" s="13" t="n">
        <v>5096000</v>
      </c>
      <c r="N121" s="13" t="n">
        <v>75112256</v>
      </c>
      <c r="O121" s="13" t="n">
        <v>16683677</v>
      </c>
      <c r="P121" s="13" t="n">
        <v>75828579</v>
      </c>
      <c r="Q121" s="13" t="n">
        <v>10244000</v>
      </c>
      <c r="R121" s="13" t="n">
        <v>3000000</v>
      </c>
      <c r="S121" s="13" t="n">
        <v>110852256</v>
      </c>
      <c r="T121" s="13" t="n">
        <v>0</v>
      </c>
    </row>
    <row r="122">
      <c r="A122" s="17" t="inlineStr">
        <is>
          <t>2025-08</t>
        </is>
      </c>
      <c r="B122" s="17" t="inlineStr">
        <is>
          <t>EMP001</t>
        </is>
      </c>
      <c r="C122" s="18" t="inlineStr">
        <is>
          <t>Nguyễn Quốc Hùng</t>
        </is>
      </c>
      <c r="D122" s="18" t="inlineStr">
        <is>
          <t>Tổng Giám Đốc (Managing Director / CEO)</t>
        </is>
      </c>
      <c r="E122" s="17" t="inlineStr">
        <is>
          <t>Điều Hành Chung</t>
        </is>
      </c>
      <c r="F122" s="10" t="n">
        <v>130000000</v>
      </c>
      <c r="G122" s="10" t="n">
        <v>25000000</v>
      </c>
      <c r="H122" s="19" t="n">
        <v>90.3</v>
      </c>
      <c r="I122" s="10" t="n">
        <v>10042500</v>
      </c>
      <c r="J122" s="10" t="n">
        <v>88588162</v>
      </c>
      <c r="K122" s="10" t="n">
        <v>0</v>
      </c>
      <c r="L122" s="10" t="n">
        <v>253630662</v>
      </c>
      <c r="M122" s="10" t="n">
        <v>5438000</v>
      </c>
      <c r="N122" s="10" t="n">
        <v>226392662</v>
      </c>
      <c r="O122" s="10" t="n">
        <v>69387432</v>
      </c>
      <c r="P122" s="10" t="n">
        <v>178805230</v>
      </c>
      <c r="Q122" s="10" t="n">
        <v>10586000</v>
      </c>
      <c r="R122" s="10" t="n">
        <v>3000000</v>
      </c>
      <c r="S122" s="10" t="n">
        <v>267216662</v>
      </c>
      <c r="T122" s="10" t="n">
        <v>11073520294</v>
      </c>
    </row>
    <row r="123">
      <c r="A123" s="17" t="inlineStr">
        <is>
          <t>2025-08</t>
        </is>
      </c>
      <c r="B123" s="17" t="inlineStr">
        <is>
          <t>EMP002</t>
        </is>
      </c>
      <c r="C123" s="18" t="inlineStr">
        <is>
          <t>Trần Minh Tuấn</t>
        </is>
      </c>
      <c r="D123" s="18" t="inlineStr">
        <is>
          <t>Phó TGĐ Kinh Doanh (Deputy CEO &amp; Head of BD)</t>
        </is>
      </c>
      <c r="E123" s="17" t="inlineStr">
        <is>
          <t>Thương Mại &amp; BD</t>
        </is>
      </c>
      <c r="F123" s="13" t="n">
        <v>105000000</v>
      </c>
      <c r="G123" s="13" t="n">
        <v>20000000</v>
      </c>
      <c r="H123" s="20" t="n">
        <v>101.9</v>
      </c>
      <c r="I123" s="13" t="n">
        <v>17246250</v>
      </c>
      <c r="J123" s="13" t="n">
        <v>96092770</v>
      </c>
      <c r="K123" s="13" t="n">
        <v>16320367</v>
      </c>
      <c r="L123" s="13" t="n">
        <v>254659387</v>
      </c>
      <c r="M123" s="13" t="n">
        <v>5438000</v>
      </c>
      <c r="N123" s="13" t="n">
        <v>227421387</v>
      </c>
      <c r="O123" s="13" t="n">
        <v>69747485</v>
      </c>
      <c r="P123" s="13" t="n">
        <v>179473902</v>
      </c>
      <c r="Q123" s="13" t="n">
        <v>10586000</v>
      </c>
      <c r="R123" s="13" t="n">
        <v>3000000</v>
      </c>
      <c r="S123" s="13" t="n">
        <v>268245387</v>
      </c>
      <c r="T123" s="13" t="n">
        <v>7197788191</v>
      </c>
    </row>
    <row r="124">
      <c r="A124" s="17" t="inlineStr">
        <is>
          <t>2025-08</t>
        </is>
      </c>
      <c r="B124" s="17" t="inlineStr">
        <is>
          <t>EMP003</t>
        </is>
      </c>
      <c r="C124" s="18" t="inlineStr">
        <is>
          <t>LS. Lê Hoàng Nam</t>
        </is>
      </c>
      <c r="D124" s="18" t="inlineStr">
        <is>
          <t>Giám Đốc Pháp Lý &amp; Thụ Lý Hồ Sơ (Legal Director)</t>
        </is>
      </c>
      <c r="E124" s="17" t="inlineStr">
        <is>
          <t>Pháp Lý Di Trú</t>
        </is>
      </c>
      <c r="F124" s="10" t="n">
        <v>95000000</v>
      </c>
      <c r="G124" s="10" t="n">
        <v>15000000</v>
      </c>
      <c r="H124" s="19" t="n">
        <v>101</v>
      </c>
      <c r="I124" s="10" t="n">
        <v>14962500</v>
      </c>
      <c r="J124" s="10" t="n">
        <v>38285094</v>
      </c>
      <c r="K124" s="10" t="n">
        <v>7221525</v>
      </c>
      <c r="L124" s="10" t="n">
        <v>170469119</v>
      </c>
      <c r="M124" s="10" t="n">
        <v>5396000</v>
      </c>
      <c r="N124" s="10" t="n">
        <v>147673119</v>
      </c>
      <c r="O124" s="10" t="n">
        <v>41835592</v>
      </c>
      <c r="P124" s="10" t="n">
        <v>123237527</v>
      </c>
      <c r="Q124" s="10" t="n">
        <v>10544000</v>
      </c>
      <c r="R124" s="10" t="n">
        <v>3000000</v>
      </c>
      <c r="S124" s="10" t="n">
        <v>184013119</v>
      </c>
      <c r="T124" s="10" t="n">
        <v>0</v>
      </c>
    </row>
    <row r="125">
      <c r="A125" s="17" t="inlineStr">
        <is>
          <t>2025-08</t>
        </is>
      </c>
      <c r="B125" s="17" t="inlineStr">
        <is>
          <t>EMP004</t>
        </is>
      </c>
      <c r="C125" s="18" t="inlineStr">
        <is>
          <t>Phạm Thanh Hà</t>
        </is>
      </c>
      <c r="D125" s="18" t="inlineStr">
        <is>
          <t>Giám Đốc Thẩm Định Đầu Tư (Investment DD Director)</t>
        </is>
      </c>
      <c r="E125" s="17" t="inlineStr">
        <is>
          <t>Đầu Tư &amp; Thẩm Định</t>
        </is>
      </c>
      <c r="F125" s="13" t="n">
        <v>90000000</v>
      </c>
      <c r="G125" s="13" t="n">
        <v>15000000</v>
      </c>
      <c r="H125" s="20" t="n">
        <v>88.7</v>
      </c>
      <c r="I125" s="13" t="n">
        <v>5872500</v>
      </c>
      <c r="J125" s="13" t="n">
        <v>24371053</v>
      </c>
      <c r="K125" s="13" t="n">
        <v>0</v>
      </c>
      <c r="L125" s="13" t="n">
        <v>135243553</v>
      </c>
      <c r="M125" s="13" t="n">
        <v>5346000</v>
      </c>
      <c r="N125" s="13" t="n">
        <v>112497553</v>
      </c>
      <c r="O125" s="13" t="n">
        <v>29524144</v>
      </c>
      <c r="P125" s="13" t="n">
        <v>100373409</v>
      </c>
      <c r="Q125" s="13" t="n">
        <v>10494000</v>
      </c>
      <c r="R125" s="13" t="n">
        <v>3000000</v>
      </c>
      <c r="S125" s="13" t="n">
        <v>148737553</v>
      </c>
      <c r="T125" s="13" t="n">
        <v>0</v>
      </c>
    </row>
    <row r="126">
      <c r="A126" s="17" t="inlineStr">
        <is>
          <t>2025-08</t>
        </is>
      </c>
      <c r="B126" s="17" t="inlineStr">
        <is>
          <t>EMP005</t>
        </is>
      </c>
      <c r="C126" s="18" t="inlineStr">
        <is>
          <t>Vũ Hải Đăng</t>
        </is>
      </c>
      <c r="D126" s="18" t="inlineStr">
        <is>
          <t>Giám Đốc Khách Hàng VIP (Private Clients Director)</t>
        </is>
      </c>
      <c r="E126" s="17" t="inlineStr">
        <is>
          <t>Thương Mại &amp; BD</t>
        </is>
      </c>
      <c r="F126" s="10" t="n">
        <v>85000000</v>
      </c>
      <c r="G126" s="10" t="n">
        <v>20000000</v>
      </c>
      <c r="H126" s="19" t="n">
        <v>107.7</v>
      </c>
      <c r="I126" s="10" t="n">
        <v>17658750</v>
      </c>
      <c r="J126" s="10" t="n">
        <v>83358746</v>
      </c>
      <c r="K126" s="10" t="n">
        <v>9924615</v>
      </c>
      <c r="L126" s="10" t="n">
        <v>215942111</v>
      </c>
      <c r="M126" s="10" t="n">
        <v>5296000</v>
      </c>
      <c r="N126" s="10" t="n">
        <v>193246111</v>
      </c>
      <c r="O126" s="10" t="n">
        <v>57786139</v>
      </c>
      <c r="P126" s="10" t="n">
        <v>152859972</v>
      </c>
      <c r="Q126" s="10" t="n">
        <v>10444000</v>
      </c>
      <c r="R126" s="10" t="n">
        <v>3000000</v>
      </c>
      <c r="S126" s="10" t="n">
        <v>229386111</v>
      </c>
      <c r="T126" s="10" t="n">
        <v>3875732103</v>
      </c>
    </row>
    <row r="127">
      <c r="A127" s="17" t="inlineStr">
        <is>
          <t>2025-08</t>
        </is>
      </c>
      <c r="B127" s="17" t="inlineStr">
        <is>
          <t>EMP006</t>
        </is>
      </c>
      <c r="C127" s="18" t="inlineStr">
        <is>
          <t>Đỗ Phương Thảo</t>
        </is>
      </c>
      <c r="D127" s="18" t="inlineStr">
        <is>
          <t>Giám Đốc Marketing &amp; Thương Hiệu (CMO)</t>
        </is>
      </c>
      <c r="E127" s="17" t="inlineStr">
        <is>
          <t>Tiếp Thị &amp; Brand</t>
        </is>
      </c>
      <c r="F127" s="13" t="n">
        <v>80000000</v>
      </c>
      <c r="G127" s="13" t="n">
        <v>12000000</v>
      </c>
      <c r="H127" s="20" t="n">
        <v>100.5</v>
      </c>
      <c r="I127" s="13" t="n">
        <v>12300000</v>
      </c>
      <c r="J127" s="13" t="n">
        <v>15023928</v>
      </c>
      <c r="K127" s="13" t="n">
        <v>0</v>
      </c>
      <c r="L127" s="13" t="n">
        <v>119323928</v>
      </c>
      <c r="M127" s="13" t="n">
        <v>5246000</v>
      </c>
      <c r="N127" s="13" t="n">
        <v>101077928</v>
      </c>
      <c r="O127" s="13" t="n">
        <v>25527275</v>
      </c>
      <c r="P127" s="13" t="n">
        <v>88550653</v>
      </c>
      <c r="Q127" s="13" t="n">
        <v>10394000</v>
      </c>
      <c r="R127" s="13" t="n">
        <v>3000000</v>
      </c>
      <c r="S127" s="13" t="n">
        <v>132717928</v>
      </c>
      <c r="T127" s="13" t="n">
        <v>0</v>
      </c>
    </row>
    <row r="128">
      <c r="A128" s="17" t="inlineStr">
        <is>
          <t>2025-08</t>
        </is>
      </c>
      <c r="B128" s="17" t="inlineStr">
        <is>
          <t>EMP007</t>
        </is>
      </c>
      <c r="C128" s="18" t="inlineStr">
        <is>
          <t>Hoàng Gia Bách</t>
        </is>
      </c>
      <c r="D128" s="18" t="inlineStr">
        <is>
          <t>Giám Đốc Chi Nhánh Hà Nội (Northern Regional Dir.)</t>
        </is>
      </c>
      <c r="E128" s="17" t="inlineStr">
        <is>
          <t>Khối Chi Nhánh</t>
        </is>
      </c>
      <c r="F128" s="10" t="n">
        <v>85000000</v>
      </c>
      <c r="G128" s="10" t="n">
        <v>15000000</v>
      </c>
      <c r="H128" s="19" t="n">
        <v>93.2</v>
      </c>
      <c r="I128" s="10" t="n">
        <v>8415000</v>
      </c>
      <c r="J128" s="10" t="n">
        <v>67392699</v>
      </c>
      <c r="K128" s="10" t="n">
        <v>7602039</v>
      </c>
      <c r="L128" s="10" t="n">
        <v>183409738</v>
      </c>
      <c r="M128" s="10" t="n">
        <v>5296000</v>
      </c>
      <c r="N128" s="10" t="n">
        <v>156313738</v>
      </c>
      <c r="O128" s="10" t="n">
        <v>44859808</v>
      </c>
      <c r="P128" s="10" t="n">
        <v>133253930</v>
      </c>
      <c r="Q128" s="10" t="n">
        <v>10444000</v>
      </c>
      <c r="R128" s="10" t="n">
        <v>3000000</v>
      </c>
      <c r="S128" s="10" t="n">
        <v>196853738</v>
      </c>
      <c r="T128" s="10" t="n">
        <v>4207937712</v>
      </c>
    </row>
    <row r="129">
      <c r="A129" s="17" t="inlineStr">
        <is>
          <t>2025-08</t>
        </is>
      </c>
      <c r="B129" s="17" t="inlineStr">
        <is>
          <t>EMP008</t>
        </is>
      </c>
      <c r="C129" s="18" t="inlineStr">
        <is>
          <t>Ngô Thị Bích Ngọc</t>
        </is>
      </c>
      <c r="D129" s="18" t="inlineStr">
        <is>
          <t>Giám Đốc Chi Nhánh TP.HCM (Southern Regional Dir.)</t>
        </is>
      </c>
      <c r="E129" s="17" t="inlineStr">
        <is>
          <t>Khối Chi Nhánh</t>
        </is>
      </c>
      <c r="F129" s="13" t="n">
        <v>90000000</v>
      </c>
      <c r="G129" s="13" t="n">
        <v>15000000</v>
      </c>
      <c r="H129" s="20" t="n">
        <v>89.2</v>
      </c>
      <c r="I129" s="13" t="n">
        <v>6210000</v>
      </c>
      <c r="J129" s="13" t="n">
        <v>85311290</v>
      </c>
      <c r="K129" s="13" t="n">
        <v>15449471</v>
      </c>
      <c r="L129" s="13" t="n">
        <v>211970761</v>
      </c>
      <c r="M129" s="13" t="n">
        <v>5346000</v>
      </c>
      <c r="N129" s="13" t="n">
        <v>189224761</v>
      </c>
      <c r="O129" s="13" t="n">
        <v>56378666</v>
      </c>
      <c r="P129" s="13" t="n">
        <v>150246095</v>
      </c>
      <c r="Q129" s="13" t="n">
        <v>10494000</v>
      </c>
      <c r="R129" s="13" t="n">
        <v>3000000</v>
      </c>
      <c r="S129" s="13" t="n">
        <v>225464761</v>
      </c>
      <c r="T129" s="13" t="n">
        <v>5315289741</v>
      </c>
    </row>
    <row r="130">
      <c r="A130" s="17" t="inlineStr">
        <is>
          <t>2025-08</t>
        </is>
      </c>
      <c r="B130" s="17" t="inlineStr">
        <is>
          <t>EMP009</t>
        </is>
      </c>
      <c r="C130" s="18" t="inlineStr">
        <is>
          <t>Trịnh Minh Trí</t>
        </is>
      </c>
      <c r="D130" s="18" t="inlineStr">
        <is>
          <t>Trưởng Ban Đối Ngoại &amp; Lãnh Sự (Head of Consular)</t>
        </is>
      </c>
      <c r="E130" s="17" t="inlineStr">
        <is>
          <t>Đối Ngoại Lãnh Sự</t>
        </is>
      </c>
      <c r="F130" s="10" t="n">
        <v>70000000</v>
      </c>
      <c r="G130" s="10" t="n">
        <v>15000000</v>
      </c>
      <c r="H130" s="19" t="n">
        <v>103.3</v>
      </c>
      <c r="I130" s="10" t="n">
        <v>12232500</v>
      </c>
      <c r="J130" s="10" t="n">
        <v>53141887</v>
      </c>
      <c r="K130" s="10" t="n">
        <v>13092982</v>
      </c>
      <c r="L130" s="10" t="n">
        <v>163467369</v>
      </c>
      <c r="M130" s="10" t="n">
        <v>5146000</v>
      </c>
      <c r="N130" s="10" t="n">
        <v>140921369</v>
      </c>
      <c r="O130" s="10" t="n">
        <v>39472479</v>
      </c>
      <c r="P130" s="10" t="n">
        <v>118848890</v>
      </c>
      <c r="Q130" s="10" t="n">
        <v>10294000</v>
      </c>
      <c r="R130" s="10" t="n">
        <v>3000000</v>
      </c>
      <c r="S130" s="10" t="n">
        <v>176761369</v>
      </c>
      <c r="T130" s="10" t="n">
        <v>0</v>
      </c>
    </row>
    <row r="131">
      <c r="A131" s="17" t="inlineStr">
        <is>
          <t>2025-08</t>
        </is>
      </c>
      <c r="B131" s="17" t="inlineStr">
        <is>
          <t>EMP010</t>
        </is>
      </c>
      <c r="C131" s="18" t="inlineStr">
        <is>
          <t>Bùi Thanh Mai</t>
        </is>
      </c>
      <c r="D131" s="18" t="inlineStr">
        <is>
          <t>Trưởng Ban An Cư (Head of Settlement Operations)</t>
        </is>
      </c>
      <c r="E131" s="17" t="inlineStr">
        <is>
          <t>Vận Hành An Cư</t>
        </is>
      </c>
      <c r="F131" s="13" t="n">
        <v>65000000</v>
      </c>
      <c r="G131" s="13" t="n">
        <v>10000000</v>
      </c>
      <c r="H131" s="20" t="n">
        <v>100.4</v>
      </c>
      <c r="I131" s="13" t="n">
        <v>9945000</v>
      </c>
      <c r="J131" s="13" t="n">
        <v>8138904</v>
      </c>
      <c r="K131" s="13" t="n">
        <v>0</v>
      </c>
      <c r="L131" s="13" t="n">
        <v>93083904</v>
      </c>
      <c r="M131" s="13" t="n">
        <v>5096000</v>
      </c>
      <c r="N131" s="13" t="n">
        <v>70587904</v>
      </c>
      <c r="O131" s="13" t="n">
        <v>15326371</v>
      </c>
      <c r="P131" s="13" t="n">
        <v>72661533</v>
      </c>
      <c r="Q131" s="13" t="n">
        <v>10244000</v>
      </c>
      <c r="R131" s="13" t="n">
        <v>3000000</v>
      </c>
      <c r="S131" s="13" t="n">
        <v>106327904</v>
      </c>
      <c r="T131" s="13" t="n">
        <v>0</v>
      </c>
    </row>
    <row r="132">
      <c r="A132" s="17" t="inlineStr">
        <is>
          <t>2025-08</t>
        </is>
      </c>
      <c r="B132" s="17" t="inlineStr">
        <is>
          <t>EMP011</t>
        </is>
      </c>
      <c r="C132" s="18" t="inlineStr">
        <is>
          <t>Đặng Văn Lâm</t>
        </is>
      </c>
      <c r="D132" s="18" t="inlineStr">
        <is>
          <t>Giám Đốc Tài Chính Quốc Tế (CFO)</t>
        </is>
      </c>
      <c r="E132" s="17" t="inlineStr">
        <is>
          <t>Tài Chính &amp; Kế Toán</t>
        </is>
      </c>
      <c r="F132" s="10" t="n">
        <v>90000000</v>
      </c>
      <c r="G132" s="10" t="n">
        <v>12000000</v>
      </c>
      <c r="H132" s="19" t="n">
        <v>107.1</v>
      </c>
      <c r="I132" s="10" t="n">
        <v>18292500</v>
      </c>
      <c r="J132" s="10" t="n">
        <v>10612486</v>
      </c>
      <c r="K132" s="10" t="n">
        <v>0</v>
      </c>
      <c r="L132" s="10" t="n">
        <v>130904986</v>
      </c>
      <c r="M132" s="10" t="n">
        <v>5346000</v>
      </c>
      <c r="N132" s="10" t="n">
        <v>103758986</v>
      </c>
      <c r="O132" s="10" t="n">
        <v>26465645</v>
      </c>
      <c r="P132" s="10" t="n">
        <v>99093341</v>
      </c>
      <c r="Q132" s="10" t="n">
        <v>10494000</v>
      </c>
      <c r="R132" s="10" t="n">
        <v>3000000</v>
      </c>
      <c r="S132" s="10" t="n">
        <v>144398986</v>
      </c>
      <c r="T132" s="10" t="n">
        <v>0</v>
      </c>
    </row>
    <row r="133">
      <c r="A133" s="17" t="inlineStr">
        <is>
          <t>2025-08</t>
        </is>
      </c>
      <c r="B133" s="17" t="inlineStr">
        <is>
          <t>EMP012</t>
        </is>
      </c>
      <c r="C133" s="18" t="inlineStr">
        <is>
          <t>Võ Quỳnh Trang</t>
        </is>
      </c>
      <c r="D133" s="18" t="inlineStr">
        <is>
          <t>Giám Đốc Nhân Sự &amp; Tuân Thủ (HR &amp; Compliance Dir.)</t>
        </is>
      </c>
      <c r="E133" s="17" t="inlineStr">
        <is>
          <t>Nhân Sự &amp; Quản Trị</t>
        </is>
      </c>
      <c r="F133" s="13" t="n">
        <v>65000000</v>
      </c>
      <c r="G133" s="13" t="n">
        <v>10000000</v>
      </c>
      <c r="H133" s="20" t="n">
        <v>98.5</v>
      </c>
      <c r="I133" s="13" t="n">
        <v>9018750</v>
      </c>
      <c r="J133" s="13" t="n">
        <v>5913953</v>
      </c>
      <c r="K133" s="13" t="n">
        <v>0</v>
      </c>
      <c r="L133" s="13" t="n">
        <v>89932703</v>
      </c>
      <c r="M133" s="13" t="n">
        <v>5096000</v>
      </c>
      <c r="N133" s="13" t="n">
        <v>67436703</v>
      </c>
      <c r="O133" s="13" t="n">
        <v>14381011</v>
      </c>
      <c r="P133" s="13" t="n">
        <v>70455692</v>
      </c>
      <c r="Q133" s="13" t="n">
        <v>10244000</v>
      </c>
      <c r="R133" s="13" t="n">
        <v>3000000</v>
      </c>
      <c r="S133" s="13" t="n">
        <v>103176703</v>
      </c>
      <c r="T133" s="13" t="n">
        <v>0</v>
      </c>
    </row>
    <row r="134">
      <c r="A134" s="17" t="inlineStr">
        <is>
          <t>2025-09</t>
        </is>
      </c>
      <c r="B134" s="17" t="inlineStr">
        <is>
          <t>EMP001</t>
        </is>
      </c>
      <c r="C134" s="18" t="inlineStr">
        <is>
          <t>Nguyễn Quốc Hùng</t>
        </is>
      </c>
      <c r="D134" s="18" t="inlineStr">
        <is>
          <t>Tổng Giám Đốc (Managing Director / CEO)</t>
        </is>
      </c>
      <c r="E134" s="17" t="inlineStr">
        <is>
          <t>Điều Hành Chung</t>
        </is>
      </c>
      <c r="F134" s="10" t="n">
        <v>130000000</v>
      </c>
      <c r="G134" s="10" t="n">
        <v>25000000</v>
      </c>
      <c r="H134" s="19" t="n">
        <v>111.1</v>
      </c>
      <c r="I134" s="10" t="n">
        <v>30322500</v>
      </c>
      <c r="J134" s="10" t="n">
        <v>87246400</v>
      </c>
      <c r="K134" s="10" t="n">
        <v>0</v>
      </c>
      <c r="L134" s="10" t="n">
        <v>272568900</v>
      </c>
      <c r="M134" s="10" t="n">
        <v>5438000</v>
      </c>
      <c r="N134" s="10" t="n">
        <v>245330900</v>
      </c>
      <c r="O134" s="10" t="n">
        <v>76015815</v>
      </c>
      <c r="P134" s="10" t="n">
        <v>191115085</v>
      </c>
      <c r="Q134" s="10" t="n">
        <v>10586000</v>
      </c>
      <c r="R134" s="10" t="n">
        <v>3000000</v>
      </c>
      <c r="S134" s="10" t="n">
        <v>286154900</v>
      </c>
      <c r="T134" s="10" t="n">
        <v>10905800015</v>
      </c>
    </row>
    <row r="135">
      <c r="A135" s="17" t="inlineStr">
        <is>
          <t>2025-09</t>
        </is>
      </c>
      <c r="B135" s="17" t="inlineStr">
        <is>
          <t>EMP002</t>
        </is>
      </c>
      <c r="C135" s="18" t="inlineStr">
        <is>
          <t>Trần Minh Tuấn</t>
        </is>
      </c>
      <c r="D135" s="18" t="inlineStr">
        <is>
          <t>Phó TGĐ Kinh Doanh (Deputy CEO &amp; Head of BD)</t>
        </is>
      </c>
      <c r="E135" s="17" t="inlineStr">
        <is>
          <t>Thương Mại &amp; BD</t>
        </is>
      </c>
      <c r="F135" s="13" t="n">
        <v>105000000</v>
      </c>
      <c r="G135" s="13" t="n">
        <v>20000000</v>
      </c>
      <c r="H135" s="20" t="n">
        <v>108.1</v>
      </c>
      <c r="I135" s="13" t="n">
        <v>22128750</v>
      </c>
      <c r="J135" s="13" t="n">
        <v>101187683</v>
      </c>
      <c r="K135" s="13" t="n">
        <v>16325918</v>
      </c>
      <c r="L135" s="13" t="n">
        <v>264642351</v>
      </c>
      <c r="M135" s="13" t="n">
        <v>5438000</v>
      </c>
      <c r="N135" s="13" t="n">
        <v>237404351</v>
      </c>
      <c r="O135" s="13" t="n">
        <v>73241523</v>
      </c>
      <c r="P135" s="13" t="n">
        <v>185962828</v>
      </c>
      <c r="Q135" s="13" t="n">
        <v>10586000</v>
      </c>
      <c r="R135" s="13" t="n">
        <v>3000000</v>
      </c>
      <c r="S135" s="13" t="n">
        <v>278228351</v>
      </c>
      <c r="T135" s="13" t="n">
        <v>7088770010</v>
      </c>
    </row>
    <row r="136">
      <c r="A136" s="17" t="inlineStr">
        <is>
          <t>2025-09</t>
        </is>
      </c>
      <c r="B136" s="17" t="inlineStr">
        <is>
          <t>EMP003</t>
        </is>
      </c>
      <c r="C136" s="18" t="inlineStr">
        <is>
          <t>LS. Lê Hoàng Nam</t>
        </is>
      </c>
      <c r="D136" s="18" t="inlineStr">
        <is>
          <t>Giám Đốc Pháp Lý &amp; Thụ Lý Hồ Sơ (Legal Director)</t>
        </is>
      </c>
      <c r="E136" s="17" t="inlineStr">
        <is>
          <t>Pháp Lý Di Trú</t>
        </is>
      </c>
      <c r="F136" s="10" t="n">
        <v>95000000</v>
      </c>
      <c r="G136" s="10" t="n">
        <v>15000000</v>
      </c>
      <c r="H136" s="19" t="n">
        <v>92.2</v>
      </c>
      <c r="I136" s="10" t="n">
        <v>8692500</v>
      </c>
      <c r="J136" s="10" t="n">
        <v>35190940</v>
      </c>
      <c r="K136" s="10" t="n">
        <v>4840036</v>
      </c>
      <c r="L136" s="10" t="n">
        <v>158723476</v>
      </c>
      <c r="M136" s="10" t="n">
        <v>5396000</v>
      </c>
      <c r="N136" s="10" t="n">
        <v>135927476</v>
      </c>
      <c r="O136" s="10" t="n">
        <v>37724617</v>
      </c>
      <c r="P136" s="10" t="n">
        <v>115602859</v>
      </c>
      <c r="Q136" s="10" t="n">
        <v>10544000</v>
      </c>
      <c r="R136" s="10" t="n">
        <v>3000000</v>
      </c>
      <c r="S136" s="10" t="n">
        <v>172267476</v>
      </c>
      <c r="T136" s="10" t="n">
        <v>0</v>
      </c>
    </row>
    <row r="137">
      <c r="A137" s="17" t="inlineStr">
        <is>
          <t>2025-09</t>
        </is>
      </c>
      <c r="B137" s="17" t="inlineStr">
        <is>
          <t>EMP004</t>
        </is>
      </c>
      <c r="C137" s="18" t="inlineStr">
        <is>
          <t>Phạm Thanh Hà</t>
        </is>
      </c>
      <c r="D137" s="18" t="inlineStr">
        <is>
          <t>Giám Đốc Thẩm Định Đầu Tư (Investment DD Director)</t>
        </is>
      </c>
      <c r="E137" s="17" t="inlineStr">
        <is>
          <t>Đầu Tư &amp; Thẩm Định</t>
        </is>
      </c>
      <c r="F137" s="13" t="n">
        <v>90000000</v>
      </c>
      <c r="G137" s="13" t="n">
        <v>15000000</v>
      </c>
      <c r="H137" s="20" t="n">
        <v>101.2</v>
      </c>
      <c r="I137" s="13" t="n">
        <v>14310000</v>
      </c>
      <c r="J137" s="13" t="n">
        <v>43594090</v>
      </c>
      <c r="K137" s="13" t="n">
        <v>0</v>
      </c>
      <c r="L137" s="13" t="n">
        <v>162904090</v>
      </c>
      <c r="M137" s="13" t="n">
        <v>5346000</v>
      </c>
      <c r="N137" s="13" t="n">
        <v>140158090</v>
      </c>
      <c r="O137" s="13" t="n">
        <v>39205332</v>
      </c>
      <c r="P137" s="13" t="n">
        <v>118352758</v>
      </c>
      <c r="Q137" s="13" t="n">
        <v>10494000</v>
      </c>
      <c r="R137" s="13" t="n">
        <v>3000000</v>
      </c>
      <c r="S137" s="13" t="n">
        <v>176398090</v>
      </c>
      <c r="T137" s="13" t="n">
        <v>0</v>
      </c>
    </row>
    <row r="138">
      <c r="A138" s="17" t="inlineStr">
        <is>
          <t>2025-09</t>
        </is>
      </c>
      <c r="B138" s="17" t="inlineStr">
        <is>
          <t>EMP005</t>
        </is>
      </c>
      <c r="C138" s="18" t="inlineStr">
        <is>
          <t>Vũ Hải Đăng</t>
        </is>
      </c>
      <c r="D138" s="18" t="inlineStr">
        <is>
          <t>Giám Đốc Khách Hàng VIP (Private Clients Director)</t>
        </is>
      </c>
      <c r="E138" s="17" t="inlineStr">
        <is>
          <t>Thương Mại &amp; BD</t>
        </is>
      </c>
      <c r="F138" s="10" t="n">
        <v>85000000</v>
      </c>
      <c r="G138" s="10" t="n">
        <v>20000000</v>
      </c>
      <c r="H138" s="19" t="n">
        <v>103.8</v>
      </c>
      <c r="I138" s="10" t="n">
        <v>15172500</v>
      </c>
      <c r="J138" s="10" t="n">
        <v>81017864</v>
      </c>
      <c r="K138" s="10" t="n">
        <v>19705958</v>
      </c>
      <c r="L138" s="10" t="n">
        <v>220896322</v>
      </c>
      <c r="M138" s="10" t="n">
        <v>5296000</v>
      </c>
      <c r="N138" s="10" t="n">
        <v>198200322</v>
      </c>
      <c r="O138" s="10" t="n">
        <v>59520113</v>
      </c>
      <c r="P138" s="10" t="n">
        <v>156080209</v>
      </c>
      <c r="Q138" s="10" t="n">
        <v>10444000</v>
      </c>
      <c r="R138" s="10" t="n">
        <v>3000000</v>
      </c>
      <c r="S138" s="10" t="n">
        <v>234340322</v>
      </c>
      <c r="T138" s="10" t="n">
        <v>3817030005</v>
      </c>
    </row>
    <row r="139">
      <c r="A139" s="17" t="inlineStr">
        <is>
          <t>2025-09</t>
        </is>
      </c>
      <c r="B139" s="17" t="inlineStr">
        <is>
          <t>EMP006</t>
        </is>
      </c>
      <c r="C139" s="18" t="inlineStr">
        <is>
          <t>Đỗ Phương Thảo</t>
        </is>
      </c>
      <c r="D139" s="18" t="inlineStr">
        <is>
          <t>Giám Đốc Marketing &amp; Thương Hiệu (CMO)</t>
        </is>
      </c>
      <c r="E139" s="17" t="inlineStr">
        <is>
          <t>Tiếp Thị &amp; Brand</t>
        </is>
      </c>
      <c r="F139" s="13" t="n">
        <v>80000000</v>
      </c>
      <c r="G139" s="13" t="n">
        <v>12000000</v>
      </c>
      <c r="H139" s="20" t="n">
        <v>105.7</v>
      </c>
      <c r="I139" s="13" t="n">
        <v>15420000</v>
      </c>
      <c r="J139" s="13" t="n">
        <v>12608765</v>
      </c>
      <c r="K139" s="13" t="n">
        <v>0</v>
      </c>
      <c r="L139" s="13" t="n">
        <v>120028765</v>
      </c>
      <c r="M139" s="13" t="n">
        <v>5246000</v>
      </c>
      <c r="N139" s="13" t="n">
        <v>101782765</v>
      </c>
      <c r="O139" s="13" t="n">
        <v>25773968</v>
      </c>
      <c r="P139" s="13" t="n">
        <v>89008797</v>
      </c>
      <c r="Q139" s="13" t="n">
        <v>10394000</v>
      </c>
      <c r="R139" s="13" t="n">
        <v>3000000</v>
      </c>
      <c r="S139" s="13" t="n">
        <v>133422765</v>
      </c>
      <c r="T139" s="13" t="n">
        <v>0</v>
      </c>
    </row>
    <row r="140">
      <c r="A140" s="17" t="inlineStr">
        <is>
          <t>2025-09</t>
        </is>
      </c>
      <c r="B140" s="17" t="inlineStr">
        <is>
          <t>EMP007</t>
        </is>
      </c>
      <c r="C140" s="18" t="inlineStr">
        <is>
          <t>Hoàng Gia Bách</t>
        </is>
      </c>
      <c r="D140" s="18" t="inlineStr">
        <is>
          <t>Giám Đốc Chi Nhánh Hà Nội (Northern Regional Dir.)</t>
        </is>
      </c>
      <c r="E140" s="17" t="inlineStr">
        <is>
          <t>Khối Chi Nhánh</t>
        </is>
      </c>
      <c r="F140" s="10" t="n">
        <v>85000000</v>
      </c>
      <c r="G140" s="10" t="n">
        <v>15000000</v>
      </c>
      <c r="H140" s="19" t="n">
        <v>102.7</v>
      </c>
      <c r="I140" s="10" t="n">
        <v>14471250</v>
      </c>
      <c r="J140" s="10" t="n">
        <v>64619612</v>
      </c>
      <c r="K140" s="10" t="n">
        <v>8863203</v>
      </c>
      <c r="L140" s="10" t="n">
        <v>187954065</v>
      </c>
      <c r="M140" s="10" t="n">
        <v>5296000</v>
      </c>
      <c r="N140" s="10" t="n">
        <v>160858065</v>
      </c>
      <c r="O140" s="10" t="n">
        <v>46450323</v>
      </c>
      <c r="P140" s="10" t="n">
        <v>136207742</v>
      </c>
      <c r="Q140" s="10" t="n">
        <v>10444000</v>
      </c>
      <c r="R140" s="10" t="n">
        <v>3000000</v>
      </c>
      <c r="S140" s="10" t="n">
        <v>201398065</v>
      </c>
      <c r="T140" s="10" t="n">
        <v>4144204006</v>
      </c>
    </row>
    <row r="141">
      <c r="A141" s="17" t="inlineStr">
        <is>
          <t>2025-09</t>
        </is>
      </c>
      <c r="B141" s="17" t="inlineStr">
        <is>
          <t>EMP008</t>
        </is>
      </c>
      <c r="C141" s="18" t="inlineStr">
        <is>
          <t>Ngô Thị Bích Ngọc</t>
        </is>
      </c>
      <c r="D141" s="18" t="inlineStr">
        <is>
          <t>Giám Đốc Chi Nhánh TP.HCM (Southern Regional Dir.)</t>
        </is>
      </c>
      <c r="E141" s="17" t="inlineStr">
        <is>
          <t>Khối Chi Nhánh</t>
        </is>
      </c>
      <c r="F141" s="13" t="n">
        <v>90000000</v>
      </c>
      <c r="G141" s="13" t="n">
        <v>15000000</v>
      </c>
      <c r="H141" s="20" t="n">
        <v>96.5</v>
      </c>
      <c r="I141" s="13" t="n">
        <v>11137500</v>
      </c>
      <c r="J141" s="13" t="n">
        <v>85916174</v>
      </c>
      <c r="K141" s="13" t="n">
        <v>8777112</v>
      </c>
      <c r="L141" s="13" t="n">
        <v>210830786</v>
      </c>
      <c r="M141" s="13" t="n">
        <v>5346000</v>
      </c>
      <c r="N141" s="13" t="n">
        <v>188084786</v>
      </c>
      <c r="O141" s="13" t="n">
        <v>55979675</v>
      </c>
      <c r="P141" s="13" t="n">
        <v>149505111</v>
      </c>
      <c r="Q141" s="13" t="n">
        <v>10494000</v>
      </c>
      <c r="R141" s="13" t="n">
        <v>3000000</v>
      </c>
      <c r="S141" s="13" t="n">
        <v>224324786</v>
      </c>
      <c r="T141" s="13" t="n">
        <v>5234784007</v>
      </c>
    </row>
    <row r="142">
      <c r="A142" s="17" t="inlineStr">
        <is>
          <t>2025-09</t>
        </is>
      </c>
      <c r="B142" s="17" t="inlineStr">
        <is>
          <t>EMP009</t>
        </is>
      </c>
      <c r="C142" s="18" t="inlineStr">
        <is>
          <t>Trịnh Minh Trí</t>
        </is>
      </c>
      <c r="D142" s="18" t="inlineStr">
        <is>
          <t>Trưởng Ban Đối Ngoại &amp; Lãnh Sự (Head of Consular)</t>
        </is>
      </c>
      <c r="E142" s="17" t="inlineStr">
        <is>
          <t>Đối Ngoại Lãnh Sự</t>
        </is>
      </c>
      <c r="F142" s="10" t="n">
        <v>70000000</v>
      </c>
      <c r="G142" s="10" t="n">
        <v>15000000</v>
      </c>
      <c r="H142" s="19" t="n">
        <v>90.8</v>
      </c>
      <c r="I142" s="10" t="n">
        <v>5670000</v>
      </c>
      <c r="J142" s="10" t="n">
        <v>31314693</v>
      </c>
      <c r="K142" s="10" t="n">
        <v>3322781</v>
      </c>
      <c r="L142" s="10" t="n">
        <v>125307474</v>
      </c>
      <c r="M142" s="10" t="n">
        <v>5146000</v>
      </c>
      <c r="N142" s="10" t="n">
        <v>102761474</v>
      </c>
      <c r="O142" s="10" t="n">
        <v>26116516</v>
      </c>
      <c r="P142" s="10" t="n">
        <v>94044958</v>
      </c>
      <c r="Q142" s="10" t="n">
        <v>10294000</v>
      </c>
      <c r="R142" s="10" t="n">
        <v>3000000</v>
      </c>
      <c r="S142" s="10" t="n">
        <v>138601474</v>
      </c>
      <c r="T142" s="10" t="n">
        <v>0</v>
      </c>
    </row>
    <row r="143">
      <c r="A143" s="17" t="inlineStr">
        <is>
          <t>2025-09</t>
        </is>
      </c>
      <c r="B143" s="17" t="inlineStr">
        <is>
          <t>EMP010</t>
        </is>
      </c>
      <c r="C143" s="18" t="inlineStr">
        <is>
          <t>Bùi Thanh Mai</t>
        </is>
      </c>
      <c r="D143" s="18" t="inlineStr">
        <is>
          <t>Trưởng Ban An Cư (Head of Settlement Operations)</t>
        </is>
      </c>
      <c r="E143" s="17" t="inlineStr">
        <is>
          <t>Vận Hành An Cư</t>
        </is>
      </c>
      <c r="F143" s="13" t="n">
        <v>65000000</v>
      </c>
      <c r="G143" s="13" t="n">
        <v>10000000</v>
      </c>
      <c r="H143" s="20" t="n">
        <v>108.5</v>
      </c>
      <c r="I143" s="13" t="n">
        <v>13893750</v>
      </c>
      <c r="J143" s="13" t="n">
        <v>11603287</v>
      </c>
      <c r="K143" s="13" t="n">
        <v>0</v>
      </c>
      <c r="L143" s="13" t="n">
        <v>100497037</v>
      </c>
      <c r="M143" s="13" t="n">
        <v>5096000</v>
      </c>
      <c r="N143" s="13" t="n">
        <v>78001037</v>
      </c>
      <c r="O143" s="13" t="n">
        <v>17550311</v>
      </c>
      <c r="P143" s="13" t="n">
        <v>77850726</v>
      </c>
      <c r="Q143" s="13" t="n">
        <v>10244000</v>
      </c>
      <c r="R143" s="13" t="n">
        <v>3000000</v>
      </c>
      <c r="S143" s="13" t="n">
        <v>113741037</v>
      </c>
      <c r="T143" s="13" t="n">
        <v>0</v>
      </c>
    </row>
    <row r="144">
      <c r="A144" s="17" t="inlineStr">
        <is>
          <t>2025-09</t>
        </is>
      </c>
      <c r="B144" s="17" t="inlineStr">
        <is>
          <t>EMP011</t>
        </is>
      </c>
      <c r="C144" s="18" t="inlineStr">
        <is>
          <t>Đặng Văn Lâm</t>
        </is>
      </c>
      <c r="D144" s="18" t="inlineStr">
        <is>
          <t>Giám Đốc Tài Chính Quốc Tế (CFO)</t>
        </is>
      </c>
      <c r="E144" s="17" t="inlineStr">
        <is>
          <t>Tài Chính &amp; Kế Toán</t>
        </is>
      </c>
      <c r="F144" s="10" t="n">
        <v>90000000</v>
      </c>
      <c r="G144" s="10" t="n">
        <v>12000000</v>
      </c>
      <c r="H144" s="19" t="n">
        <v>99.40000000000001</v>
      </c>
      <c r="I144" s="10" t="n">
        <v>13095000</v>
      </c>
      <c r="J144" s="10" t="n">
        <v>8432710</v>
      </c>
      <c r="K144" s="10" t="n">
        <v>0</v>
      </c>
      <c r="L144" s="10" t="n">
        <v>123527710</v>
      </c>
      <c r="M144" s="10" t="n">
        <v>5346000</v>
      </c>
      <c r="N144" s="10" t="n">
        <v>96381710</v>
      </c>
      <c r="O144" s="10" t="n">
        <v>23883598</v>
      </c>
      <c r="P144" s="10" t="n">
        <v>94298112</v>
      </c>
      <c r="Q144" s="10" t="n">
        <v>10494000</v>
      </c>
      <c r="R144" s="10" t="n">
        <v>3000000</v>
      </c>
      <c r="S144" s="10" t="n">
        <v>137021710</v>
      </c>
      <c r="T144" s="10" t="n">
        <v>0</v>
      </c>
    </row>
    <row r="145">
      <c r="A145" s="17" t="inlineStr">
        <is>
          <t>2025-09</t>
        </is>
      </c>
      <c r="B145" s="17" t="inlineStr">
        <is>
          <t>EMP012</t>
        </is>
      </c>
      <c r="C145" s="18" t="inlineStr">
        <is>
          <t>Võ Quỳnh Trang</t>
        </is>
      </c>
      <c r="D145" s="18" t="inlineStr">
        <is>
          <t>Giám Đốc Nhân Sự &amp; Tuân Thủ (HR &amp; Compliance Dir.)</t>
        </is>
      </c>
      <c r="E145" s="17" t="inlineStr">
        <is>
          <t>Nhân Sự &amp; Quản Trị</t>
        </is>
      </c>
      <c r="F145" s="13" t="n">
        <v>65000000</v>
      </c>
      <c r="G145" s="13" t="n">
        <v>10000000</v>
      </c>
      <c r="H145" s="20" t="n">
        <v>99.8</v>
      </c>
      <c r="I145" s="13" t="n">
        <v>9652500</v>
      </c>
      <c r="J145" s="13" t="n">
        <v>9508593</v>
      </c>
      <c r="K145" s="13" t="n">
        <v>0</v>
      </c>
      <c r="L145" s="13" t="n">
        <v>94161093</v>
      </c>
      <c r="M145" s="13" t="n">
        <v>5096000</v>
      </c>
      <c r="N145" s="13" t="n">
        <v>71665093</v>
      </c>
      <c r="O145" s="13" t="n">
        <v>15649528</v>
      </c>
      <c r="P145" s="13" t="n">
        <v>73415565</v>
      </c>
      <c r="Q145" s="13" t="n">
        <v>10244000</v>
      </c>
      <c r="R145" s="13" t="n">
        <v>3000000</v>
      </c>
      <c r="S145" s="13" t="n">
        <v>107405093</v>
      </c>
      <c r="T145" s="13" t="n">
        <v>0</v>
      </c>
    </row>
    <row r="146">
      <c r="A146" s="17" t="inlineStr">
        <is>
          <t>2025-10</t>
        </is>
      </c>
      <c r="B146" s="17" t="inlineStr">
        <is>
          <t>EMP001</t>
        </is>
      </c>
      <c r="C146" s="18" t="inlineStr">
        <is>
          <t>Nguyễn Quốc Hùng</t>
        </is>
      </c>
      <c r="D146" s="18" t="inlineStr">
        <is>
          <t>Tổng Giám Đốc (Managing Director / CEO)</t>
        </is>
      </c>
      <c r="E146" s="17" t="inlineStr">
        <is>
          <t>Điều Hành Chung</t>
        </is>
      </c>
      <c r="F146" s="10" t="n">
        <v>130000000</v>
      </c>
      <c r="G146" s="10" t="n">
        <v>25000000</v>
      </c>
      <c r="H146" s="19" t="n">
        <v>98.40000000000001</v>
      </c>
      <c r="I146" s="10" t="n">
        <v>17940000</v>
      </c>
      <c r="J146" s="10" t="n">
        <v>80811942</v>
      </c>
      <c r="K146" s="10" t="n">
        <v>0</v>
      </c>
      <c r="L146" s="10" t="n">
        <v>253751942</v>
      </c>
      <c r="M146" s="10" t="n">
        <v>5438000</v>
      </c>
      <c r="N146" s="10" t="n">
        <v>226513942</v>
      </c>
      <c r="O146" s="10" t="n">
        <v>69429880</v>
      </c>
      <c r="P146" s="10" t="n">
        <v>178884062</v>
      </c>
      <c r="Q146" s="10" t="n">
        <v>10586000</v>
      </c>
      <c r="R146" s="10" t="n">
        <v>3000000</v>
      </c>
      <c r="S146" s="10" t="n">
        <v>267337942</v>
      </c>
      <c r="T146" s="10" t="n">
        <v>10101492695</v>
      </c>
    </row>
    <row r="147">
      <c r="A147" s="17" t="inlineStr">
        <is>
          <t>2025-10</t>
        </is>
      </c>
      <c r="B147" s="17" t="inlineStr">
        <is>
          <t>EMP002</t>
        </is>
      </c>
      <c r="C147" s="18" t="inlineStr">
        <is>
          <t>Trần Minh Tuấn</t>
        </is>
      </c>
      <c r="D147" s="18" t="inlineStr">
        <is>
          <t>Phó TGĐ Kinh Doanh (Deputy CEO &amp; Head of BD)</t>
        </is>
      </c>
      <c r="E147" s="17" t="inlineStr">
        <is>
          <t>Thương Mại &amp; BD</t>
        </is>
      </c>
      <c r="F147" s="13" t="n">
        <v>105000000</v>
      </c>
      <c r="G147" s="13" t="n">
        <v>20000000</v>
      </c>
      <c r="H147" s="20" t="n">
        <v>97.59999999999999</v>
      </c>
      <c r="I147" s="13" t="n">
        <v>13860000</v>
      </c>
      <c r="J147" s="13" t="n">
        <v>92988519</v>
      </c>
      <c r="K147" s="13" t="n">
        <v>57865154</v>
      </c>
      <c r="L147" s="13" t="n">
        <v>289713673</v>
      </c>
      <c r="M147" s="13" t="n">
        <v>5438000</v>
      </c>
      <c r="N147" s="13" t="n">
        <v>262475673</v>
      </c>
      <c r="O147" s="13" t="n">
        <v>82016486</v>
      </c>
      <c r="P147" s="13" t="n">
        <v>202259187</v>
      </c>
      <c r="Q147" s="13" t="n">
        <v>10586000</v>
      </c>
      <c r="R147" s="13" t="n">
        <v>3000000</v>
      </c>
      <c r="S147" s="13" t="n">
        <v>303299673</v>
      </c>
      <c r="T147" s="13" t="n">
        <v>6565970252</v>
      </c>
    </row>
    <row r="148">
      <c r="A148" s="17" t="inlineStr">
        <is>
          <t>2025-10</t>
        </is>
      </c>
      <c r="B148" s="17" t="inlineStr">
        <is>
          <t>EMP003</t>
        </is>
      </c>
      <c r="C148" s="18" t="inlineStr">
        <is>
          <t>LS. Lê Hoàng Nam</t>
        </is>
      </c>
      <c r="D148" s="18" t="inlineStr">
        <is>
          <t>Giám Đốc Pháp Lý &amp; Thụ Lý Hồ Sơ (Legal Director)</t>
        </is>
      </c>
      <c r="E148" s="17" t="inlineStr">
        <is>
          <t>Pháp Lý Di Trú</t>
        </is>
      </c>
      <c r="F148" s="10" t="n">
        <v>95000000</v>
      </c>
      <c r="G148" s="10" t="n">
        <v>15000000</v>
      </c>
      <c r="H148" s="19" t="n">
        <v>89.09999999999999</v>
      </c>
      <c r="I148" s="10" t="n">
        <v>6483750</v>
      </c>
      <c r="J148" s="10" t="n">
        <v>38087914</v>
      </c>
      <c r="K148" s="10" t="n">
        <v>23578360</v>
      </c>
      <c r="L148" s="10" t="n">
        <v>178150024</v>
      </c>
      <c r="M148" s="10" t="n">
        <v>5396000</v>
      </c>
      <c r="N148" s="10" t="n">
        <v>155354024</v>
      </c>
      <c r="O148" s="10" t="n">
        <v>44523908</v>
      </c>
      <c r="P148" s="10" t="n">
        <v>128230116</v>
      </c>
      <c r="Q148" s="10" t="n">
        <v>10544000</v>
      </c>
      <c r="R148" s="10" t="n">
        <v>3000000</v>
      </c>
      <c r="S148" s="10" t="n">
        <v>191694024</v>
      </c>
      <c r="T148" s="10" t="n">
        <v>0</v>
      </c>
    </row>
    <row r="149">
      <c r="A149" s="17" t="inlineStr">
        <is>
          <t>2025-10</t>
        </is>
      </c>
      <c r="B149" s="17" t="inlineStr">
        <is>
          <t>EMP004</t>
        </is>
      </c>
      <c r="C149" s="18" t="inlineStr">
        <is>
          <t>Phạm Thanh Hà</t>
        </is>
      </c>
      <c r="D149" s="18" t="inlineStr">
        <is>
          <t>Giám Đốc Thẩm Định Đầu Tư (Investment DD Director)</t>
        </is>
      </c>
      <c r="E149" s="17" t="inlineStr">
        <is>
          <t>Đầu Tư &amp; Thẩm Định</t>
        </is>
      </c>
      <c r="F149" s="13" t="n">
        <v>90000000</v>
      </c>
      <c r="G149" s="13" t="n">
        <v>15000000</v>
      </c>
      <c r="H149" s="20" t="n">
        <v>100.1</v>
      </c>
      <c r="I149" s="13" t="n">
        <v>13567500</v>
      </c>
      <c r="J149" s="13" t="n">
        <v>42155756</v>
      </c>
      <c r="K149" s="13" t="n">
        <v>0</v>
      </c>
      <c r="L149" s="13" t="n">
        <v>160723256</v>
      </c>
      <c r="M149" s="13" t="n">
        <v>5346000</v>
      </c>
      <c r="N149" s="13" t="n">
        <v>137977256</v>
      </c>
      <c r="O149" s="13" t="n">
        <v>38442040</v>
      </c>
      <c r="P149" s="13" t="n">
        <v>116935216</v>
      </c>
      <c r="Q149" s="13" t="n">
        <v>10494000</v>
      </c>
      <c r="R149" s="13" t="n">
        <v>3000000</v>
      </c>
      <c r="S149" s="13" t="n">
        <v>174217256</v>
      </c>
      <c r="T149" s="13" t="n">
        <v>0</v>
      </c>
    </row>
    <row r="150">
      <c r="A150" s="17" t="inlineStr">
        <is>
          <t>2025-10</t>
        </is>
      </c>
      <c r="B150" s="17" t="inlineStr">
        <is>
          <t>EMP005</t>
        </is>
      </c>
      <c r="C150" s="18" t="inlineStr">
        <is>
          <t>Vũ Hải Đăng</t>
        </is>
      </c>
      <c r="D150" s="18" t="inlineStr">
        <is>
          <t>Giám Đốc Khách Hàng VIP (Private Clients Director)</t>
        </is>
      </c>
      <c r="E150" s="17" t="inlineStr">
        <is>
          <t>Thương Mại &amp; BD</t>
        </is>
      </c>
      <c r="F150" s="10" t="n">
        <v>85000000</v>
      </c>
      <c r="G150" s="10" t="n">
        <v>20000000</v>
      </c>
      <c r="H150" s="19" t="n">
        <v>103.8</v>
      </c>
      <c r="I150" s="10" t="n">
        <v>15172500</v>
      </c>
      <c r="J150" s="10" t="n">
        <v>73586700</v>
      </c>
      <c r="K150" s="10" t="n">
        <v>31252202</v>
      </c>
      <c r="L150" s="10" t="n">
        <v>225011402</v>
      </c>
      <c r="M150" s="10" t="n">
        <v>5296000</v>
      </c>
      <c r="N150" s="10" t="n">
        <v>202315402</v>
      </c>
      <c r="O150" s="10" t="n">
        <v>60960391</v>
      </c>
      <c r="P150" s="10" t="n">
        <v>158755011</v>
      </c>
      <c r="Q150" s="10" t="n">
        <v>10444000</v>
      </c>
      <c r="R150" s="10" t="n">
        <v>3000000</v>
      </c>
      <c r="S150" s="10" t="n">
        <v>238455402</v>
      </c>
      <c r="T150" s="10" t="n">
        <v>3535522443</v>
      </c>
    </row>
    <row r="151">
      <c r="A151" s="17" t="inlineStr">
        <is>
          <t>2025-10</t>
        </is>
      </c>
      <c r="B151" s="17" t="inlineStr">
        <is>
          <t>EMP006</t>
        </is>
      </c>
      <c r="C151" s="18" t="inlineStr">
        <is>
          <t>Đỗ Phương Thảo</t>
        </is>
      </c>
      <c r="D151" s="18" t="inlineStr">
        <is>
          <t>Giám Đốc Marketing &amp; Thương Hiệu (CMO)</t>
        </is>
      </c>
      <c r="E151" s="17" t="inlineStr">
        <is>
          <t>Tiếp Thị &amp; Brand</t>
        </is>
      </c>
      <c r="F151" s="13" t="n">
        <v>80000000</v>
      </c>
      <c r="G151" s="13" t="n">
        <v>12000000</v>
      </c>
      <c r="H151" s="20" t="n">
        <v>103.4</v>
      </c>
      <c r="I151" s="13" t="n">
        <v>14040000</v>
      </c>
      <c r="J151" s="13" t="n">
        <v>6696927</v>
      </c>
      <c r="K151" s="13" t="n">
        <v>0</v>
      </c>
      <c r="L151" s="13" t="n">
        <v>112736927</v>
      </c>
      <c r="M151" s="13" t="n">
        <v>5246000</v>
      </c>
      <c r="N151" s="13" t="n">
        <v>94490927</v>
      </c>
      <c r="O151" s="13" t="n">
        <v>23221824</v>
      </c>
      <c r="P151" s="13" t="n">
        <v>84269103</v>
      </c>
      <c r="Q151" s="13" t="n">
        <v>10394000</v>
      </c>
      <c r="R151" s="13" t="n">
        <v>3000000</v>
      </c>
      <c r="S151" s="13" t="n">
        <v>126130927</v>
      </c>
      <c r="T151" s="13" t="n">
        <v>0</v>
      </c>
    </row>
    <row r="152">
      <c r="A152" s="17" t="inlineStr">
        <is>
          <t>2025-10</t>
        </is>
      </c>
      <c r="B152" s="17" t="inlineStr">
        <is>
          <t>EMP007</t>
        </is>
      </c>
      <c r="C152" s="18" t="inlineStr">
        <is>
          <t>Hoàng Gia Bách</t>
        </is>
      </c>
      <c r="D152" s="18" t="inlineStr">
        <is>
          <t>Giám Đốc Chi Nhánh Hà Nội (Northern Regional Dir.)</t>
        </is>
      </c>
      <c r="E152" s="17" t="inlineStr">
        <is>
          <t>Khối Chi Nhánh</t>
        </is>
      </c>
      <c r="F152" s="10" t="n">
        <v>85000000</v>
      </c>
      <c r="G152" s="10" t="n">
        <v>15000000</v>
      </c>
      <c r="H152" s="19" t="n">
        <v>102.1</v>
      </c>
      <c r="I152" s="10" t="n">
        <v>14088750</v>
      </c>
      <c r="J152" s="10" t="n">
        <v>64010714</v>
      </c>
      <c r="K152" s="10" t="n">
        <v>38497065</v>
      </c>
      <c r="L152" s="10" t="n">
        <v>216596529</v>
      </c>
      <c r="M152" s="10" t="n">
        <v>5296000</v>
      </c>
      <c r="N152" s="10" t="n">
        <v>189500529</v>
      </c>
      <c r="O152" s="10" t="n">
        <v>56475185</v>
      </c>
      <c r="P152" s="10" t="n">
        <v>154825344</v>
      </c>
      <c r="Q152" s="10" t="n">
        <v>10444000</v>
      </c>
      <c r="R152" s="10" t="n">
        <v>3000000</v>
      </c>
      <c r="S152" s="10" t="n">
        <v>230040529</v>
      </c>
      <c r="T152" s="10" t="n">
        <v>3838567224</v>
      </c>
    </row>
    <row r="153">
      <c r="A153" s="17" t="inlineStr">
        <is>
          <t>2025-10</t>
        </is>
      </c>
      <c r="B153" s="17" t="inlineStr">
        <is>
          <t>EMP008</t>
        </is>
      </c>
      <c r="C153" s="18" t="inlineStr">
        <is>
          <t>Ngô Thị Bích Ngọc</t>
        </is>
      </c>
      <c r="D153" s="18" t="inlineStr">
        <is>
          <t>Giám Đốc Chi Nhánh TP.HCM (Southern Regional Dir.)</t>
        </is>
      </c>
      <c r="E153" s="17" t="inlineStr">
        <is>
          <t>Khối Chi Nhánh</t>
        </is>
      </c>
      <c r="F153" s="13" t="n">
        <v>90000000</v>
      </c>
      <c r="G153" s="13" t="n">
        <v>15000000</v>
      </c>
      <c r="H153" s="20" t="n">
        <v>97.3</v>
      </c>
      <c r="I153" s="13" t="n">
        <v>11677500</v>
      </c>
      <c r="J153" s="13" t="n">
        <v>78691086</v>
      </c>
      <c r="K153" s="13" t="n">
        <v>44097581</v>
      </c>
      <c r="L153" s="13" t="n">
        <v>239466167</v>
      </c>
      <c r="M153" s="13" t="n">
        <v>5346000</v>
      </c>
      <c r="N153" s="13" t="n">
        <v>216720167</v>
      </c>
      <c r="O153" s="13" t="n">
        <v>66002058</v>
      </c>
      <c r="P153" s="13" t="n">
        <v>168118109</v>
      </c>
      <c r="Q153" s="13" t="n">
        <v>10494000</v>
      </c>
      <c r="R153" s="13" t="n">
        <v>3000000</v>
      </c>
      <c r="S153" s="13" t="n">
        <v>252960167</v>
      </c>
      <c r="T153" s="13" t="n">
        <v>4848716494</v>
      </c>
    </row>
    <row r="154">
      <c r="A154" s="17" t="inlineStr">
        <is>
          <t>2025-10</t>
        </is>
      </c>
      <c r="B154" s="17" t="inlineStr">
        <is>
          <t>EMP009</t>
        </is>
      </c>
      <c r="C154" s="18" t="inlineStr">
        <is>
          <t>Trịnh Minh Trí</t>
        </is>
      </c>
      <c r="D154" s="18" t="inlineStr">
        <is>
          <t>Trưởng Ban Đối Ngoại &amp; Lãnh Sự (Head of Consular)</t>
        </is>
      </c>
      <c r="E154" s="17" t="inlineStr">
        <is>
          <t>Đối Ngoại Lãnh Sự</t>
        </is>
      </c>
      <c r="F154" s="10" t="n">
        <v>70000000</v>
      </c>
      <c r="G154" s="10" t="n">
        <v>15000000</v>
      </c>
      <c r="H154" s="19" t="n">
        <v>101.1</v>
      </c>
      <c r="I154" s="10" t="n">
        <v>11077500</v>
      </c>
      <c r="J154" s="10" t="n">
        <v>55773702</v>
      </c>
      <c r="K154" s="10" t="n">
        <v>29846512</v>
      </c>
      <c r="L154" s="10" t="n">
        <v>181697714</v>
      </c>
      <c r="M154" s="10" t="n">
        <v>5146000</v>
      </c>
      <c r="N154" s="10" t="n">
        <v>159151714</v>
      </c>
      <c r="O154" s="10" t="n">
        <v>45853100</v>
      </c>
      <c r="P154" s="10" t="n">
        <v>130698614</v>
      </c>
      <c r="Q154" s="10" t="n">
        <v>10294000</v>
      </c>
      <c r="R154" s="10" t="n">
        <v>3000000</v>
      </c>
      <c r="S154" s="10" t="n">
        <v>194991714</v>
      </c>
      <c r="T154" s="10" t="n">
        <v>0</v>
      </c>
    </row>
    <row r="155">
      <c r="A155" s="17" t="inlineStr">
        <is>
          <t>2025-10</t>
        </is>
      </c>
      <c r="B155" s="17" t="inlineStr">
        <is>
          <t>EMP010</t>
        </is>
      </c>
      <c r="C155" s="18" t="inlineStr">
        <is>
          <t>Bùi Thanh Mai</t>
        </is>
      </c>
      <c r="D155" s="18" t="inlineStr">
        <is>
          <t>Trưởng Ban An Cư (Head of Settlement Operations)</t>
        </is>
      </c>
      <c r="E155" s="17" t="inlineStr">
        <is>
          <t>Vận Hành An Cư</t>
        </is>
      </c>
      <c r="F155" s="13" t="n">
        <v>65000000</v>
      </c>
      <c r="G155" s="13" t="n">
        <v>10000000</v>
      </c>
      <c r="H155" s="20" t="n">
        <v>111.1</v>
      </c>
      <c r="I155" s="13" t="n">
        <v>15161250</v>
      </c>
      <c r="J155" s="13" t="n">
        <v>13438691</v>
      </c>
      <c r="K155" s="13" t="n">
        <v>0</v>
      </c>
      <c r="L155" s="13" t="n">
        <v>103599941</v>
      </c>
      <c r="M155" s="13" t="n">
        <v>5096000</v>
      </c>
      <c r="N155" s="13" t="n">
        <v>81103941</v>
      </c>
      <c r="O155" s="13" t="n">
        <v>18536379</v>
      </c>
      <c r="P155" s="13" t="n">
        <v>79967562</v>
      </c>
      <c r="Q155" s="13" t="n">
        <v>10244000</v>
      </c>
      <c r="R155" s="13" t="n">
        <v>3000000</v>
      </c>
      <c r="S155" s="13" t="n">
        <v>116843941</v>
      </c>
      <c r="T155" s="13" t="n">
        <v>0</v>
      </c>
    </row>
    <row r="156">
      <c r="A156" s="17" t="inlineStr">
        <is>
          <t>2025-10</t>
        </is>
      </c>
      <c r="B156" s="17" t="inlineStr">
        <is>
          <t>EMP011</t>
        </is>
      </c>
      <c r="C156" s="18" t="inlineStr">
        <is>
          <t>Đặng Văn Lâm</t>
        </is>
      </c>
      <c r="D156" s="18" t="inlineStr">
        <is>
          <t>Giám Đốc Tài Chính Quốc Tế (CFO)</t>
        </is>
      </c>
      <c r="E156" s="17" t="inlineStr">
        <is>
          <t>Tài Chính &amp; Kế Toán</t>
        </is>
      </c>
      <c r="F156" s="10" t="n">
        <v>90000000</v>
      </c>
      <c r="G156" s="10" t="n">
        <v>12000000</v>
      </c>
      <c r="H156" s="19" t="n">
        <v>92.7</v>
      </c>
      <c r="I156" s="10" t="n">
        <v>8572500</v>
      </c>
      <c r="J156" s="10" t="n">
        <v>8073952</v>
      </c>
      <c r="K156" s="10" t="n">
        <v>0</v>
      </c>
      <c r="L156" s="10" t="n">
        <v>118646452</v>
      </c>
      <c r="M156" s="10" t="n">
        <v>5346000</v>
      </c>
      <c r="N156" s="10" t="n">
        <v>91500452</v>
      </c>
      <c r="O156" s="10" t="n">
        <v>22175158</v>
      </c>
      <c r="P156" s="10" t="n">
        <v>91125294</v>
      </c>
      <c r="Q156" s="10" t="n">
        <v>10494000</v>
      </c>
      <c r="R156" s="10" t="n">
        <v>3000000</v>
      </c>
      <c r="S156" s="10" t="n">
        <v>132140452</v>
      </c>
      <c r="T156" s="10" t="n">
        <v>0</v>
      </c>
    </row>
    <row r="157">
      <c r="A157" s="17" t="inlineStr">
        <is>
          <t>2025-10</t>
        </is>
      </c>
      <c r="B157" s="17" t="inlineStr">
        <is>
          <t>EMP012</t>
        </is>
      </c>
      <c r="C157" s="18" t="inlineStr">
        <is>
          <t>Võ Quỳnh Trang</t>
        </is>
      </c>
      <c r="D157" s="18" t="inlineStr">
        <is>
          <t>Giám Đốc Nhân Sự &amp; Tuân Thủ (HR &amp; Compliance Dir.)</t>
        </is>
      </c>
      <c r="E157" s="17" t="inlineStr">
        <is>
          <t>Nhân Sự &amp; Quản Trị</t>
        </is>
      </c>
      <c r="F157" s="13" t="n">
        <v>65000000</v>
      </c>
      <c r="G157" s="13" t="n">
        <v>10000000</v>
      </c>
      <c r="H157" s="20" t="n">
        <v>90.40000000000001</v>
      </c>
      <c r="I157" s="13" t="n">
        <v>5070000</v>
      </c>
      <c r="J157" s="13" t="n">
        <v>5365819</v>
      </c>
      <c r="K157" s="13" t="n">
        <v>0</v>
      </c>
      <c r="L157" s="13" t="n">
        <v>85435819</v>
      </c>
      <c r="M157" s="13" t="n">
        <v>5096000</v>
      </c>
      <c r="N157" s="13" t="n">
        <v>62939819</v>
      </c>
      <c r="O157" s="13" t="n">
        <v>13031946</v>
      </c>
      <c r="P157" s="13" t="n">
        <v>67307873</v>
      </c>
      <c r="Q157" s="13" t="n">
        <v>10244000</v>
      </c>
      <c r="R157" s="13" t="n">
        <v>3000000</v>
      </c>
      <c r="S157" s="13" t="n">
        <v>98679819</v>
      </c>
      <c r="T157" s="13" t="n">
        <v>0</v>
      </c>
    </row>
    <row r="158">
      <c r="A158" s="17" t="inlineStr">
        <is>
          <t>2025-11</t>
        </is>
      </c>
      <c r="B158" s="17" t="inlineStr">
        <is>
          <t>EMP001</t>
        </is>
      </c>
      <c r="C158" s="18" t="inlineStr">
        <is>
          <t>Nguyễn Quốc Hùng</t>
        </is>
      </c>
      <c r="D158" s="18" t="inlineStr">
        <is>
          <t>Tổng Giám Đốc (Managing Director / CEO)</t>
        </is>
      </c>
      <c r="E158" s="17" t="inlineStr">
        <is>
          <t>Điều Hành Chung</t>
        </is>
      </c>
      <c r="F158" s="10" t="n">
        <v>130000000</v>
      </c>
      <c r="G158" s="10" t="n">
        <v>25000000</v>
      </c>
      <c r="H158" s="19" t="n">
        <v>104.4</v>
      </c>
      <c r="I158" s="10" t="n">
        <v>23790000</v>
      </c>
      <c r="J158" s="10" t="n">
        <v>83978601</v>
      </c>
      <c r="K158" s="10" t="n">
        <v>0</v>
      </c>
      <c r="L158" s="10" t="n">
        <v>262768601</v>
      </c>
      <c r="M158" s="10" t="n">
        <v>5438000</v>
      </c>
      <c r="N158" s="10" t="n">
        <v>235530601</v>
      </c>
      <c r="O158" s="10" t="n">
        <v>72585710</v>
      </c>
      <c r="P158" s="10" t="n">
        <v>184744891</v>
      </c>
      <c r="Q158" s="10" t="n">
        <v>10586000</v>
      </c>
      <c r="R158" s="10" t="n">
        <v>3000000</v>
      </c>
      <c r="S158" s="10" t="n">
        <v>276354601</v>
      </c>
      <c r="T158" s="10" t="n">
        <v>10497325133</v>
      </c>
    </row>
    <row r="159">
      <c r="A159" s="17" t="inlineStr">
        <is>
          <t>2025-11</t>
        </is>
      </c>
      <c r="B159" s="17" t="inlineStr">
        <is>
          <t>EMP002</t>
        </is>
      </c>
      <c r="C159" s="18" t="inlineStr">
        <is>
          <t>Trần Minh Tuấn</t>
        </is>
      </c>
      <c r="D159" s="18" t="inlineStr">
        <is>
          <t>Phó TGĐ Kinh Doanh (Deputy CEO &amp; Head of BD)</t>
        </is>
      </c>
      <c r="E159" s="17" t="inlineStr">
        <is>
          <t>Thương Mại &amp; BD</t>
        </is>
      </c>
      <c r="F159" s="13" t="n">
        <v>105000000</v>
      </c>
      <c r="G159" s="13" t="n">
        <v>20000000</v>
      </c>
      <c r="H159" s="20" t="n">
        <v>89.7</v>
      </c>
      <c r="I159" s="13" t="n">
        <v>7638750</v>
      </c>
      <c r="J159" s="13" t="n">
        <v>93796411</v>
      </c>
      <c r="K159" s="13" t="n">
        <v>21266582</v>
      </c>
      <c r="L159" s="13" t="n">
        <v>247701743</v>
      </c>
      <c r="M159" s="13" t="n">
        <v>5438000</v>
      </c>
      <c r="N159" s="13" t="n">
        <v>220463743</v>
      </c>
      <c r="O159" s="13" t="n">
        <v>67312310</v>
      </c>
      <c r="P159" s="13" t="n">
        <v>174951433</v>
      </c>
      <c r="Q159" s="13" t="n">
        <v>10586000</v>
      </c>
      <c r="R159" s="13" t="n">
        <v>3000000</v>
      </c>
      <c r="S159" s="13" t="n">
        <v>261287743</v>
      </c>
      <c r="T159" s="13" t="n">
        <v>6823261336</v>
      </c>
    </row>
    <row r="160">
      <c r="A160" s="17" t="inlineStr">
        <is>
          <t>2025-11</t>
        </is>
      </c>
      <c r="B160" s="17" t="inlineStr">
        <is>
          <t>EMP003</t>
        </is>
      </c>
      <c r="C160" s="18" t="inlineStr">
        <is>
          <t>LS. Lê Hoàng Nam</t>
        </is>
      </c>
      <c r="D160" s="18" t="inlineStr">
        <is>
          <t>Giám Đốc Pháp Lý &amp; Thụ Lý Hồ Sơ (Legal Director)</t>
        </is>
      </c>
      <c r="E160" s="17" t="inlineStr">
        <is>
          <t>Pháp Lý Di Trú</t>
        </is>
      </c>
      <c r="F160" s="10" t="n">
        <v>95000000</v>
      </c>
      <c r="G160" s="10" t="n">
        <v>15000000</v>
      </c>
      <c r="H160" s="19" t="n">
        <v>88.59999999999999</v>
      </c>
      <c r="I160" s="10" t="n">
        <v>6127500</v>
      </c>
      <c r="J160" s="10" t="n">
        <v>53970226</v>
      </c>
      <c r="K160" s="10" t="n">
        <v>7678787</v>
      </c>
      <c r="L160" s="10" t="n">
        <v>177776513</v>
      </c>
      <c r="M160" s="10" t="n">
        <v>5396000</v>
      </c>
      <c r="N160" s="10" t="n">
        <v>154980513</v>
      </c>
      <c r="O160" s="10" t="n">
        <v>44393180</v>
      </c>
      <c r="P160" s="10" t="n">
        <v>127987333</v>
      </c>
      <c r="Q160" s="10" t="n">
        <v>10544000</v>
      </c>
      <c r="R160" s="10" t="n">
        <v>3000000</v>
      </c>
      <c r="S160" s="10" t="n">
        <v>191320513</v>
      </c>
      <c r="T160" s="10" t="n">
        <v>0</v>
      </c>
    </row>
    <row r="161">
      <c r="A161" s="17" t="inlineStr">
        <is>
          <t>2025-11</t>
        </is>
      </c>
      <c r="B161" s="17" t="inlineStr">
        <is>
          <t>EMP004</t>
        </is>
      </c>
      <c r="C161" s="18" t="inlineStr">
        <is>
          <t>Phạm Thanh Hà</t>
        </is>
      </c>
      <c r="D161" s="18" t="inlineStr">
        <is>
          <t>Giám Đốc Thẩm Định Đầu Tư (Investment DD Director)</t>
        </is>
      </c>
      <c r="E161" s="17" t="inlineStr">
        <is>
          <t>Đầu Tư &amp; Thẩm Định</t>
        </is>
      </c>
      <c r="F161" s="13" t="n">
        <v>90000000</v>
      </c>
      <c r="G161" s="13" t="n">
        <v>15000000</v>
      </c>
      <c r="H161" s="20" t="n">
        <v>90.8</v>
      </c>
      <c r="I161" s="13" t="n">
        <v>7290000</v>
      </c>
      <c r="J161" s="13" t="n">
        <v>39918429</v>
      </c>
      <c r="K161" s="13" t="n">
        <v>0</v>
      </c>
      <c r="L161" s="13" t="n">
        <v>152208429</v>
      </c>
      <c r="M161" s="13" t="n">
        <v>5346000</v>
      </c>
      <c r="N161" s="13" t="n">
        <v>129462429</v>
      </c>
      <c r="O161" s="13" t="n">
        <v>35461850</v>
      </c>
      <c r="P161" s="13" t="n">
        <v>111400579</v>
      </c>
      <c r="Q161" s="13" t="n">
        <v>10494000</v>
      </c>
      <c r="R161" s="13" t="n">
        <v>3000000</v>
      </c>
      <c r="S161" s="13" t="n">
        <v>165702429</v>
      </c>
      <c r="T161" s="13" t="n">
        <v>0</v>
      </c>
    </row>
    <row r="162">
      <c r="A162" s="17" t="inlineStr">
        <is>
          <t>2025-11</t>
        </is>
      </c>
      <c r="B162" s="17" t="inlineStr">
        <is>
          <t>EMP005</t>
        </is>
      </c>
      <c r="C162" s="18" t="inlineStr">
        <is>
          <t>Vũ Hải Đăng</t>
        </is>
      </c>
      <c r="D162" s="18" t="inlineStr">
        <is>
          <t>Giám Đốc Khách Hàng VIP (Private Clients Director)</t>
        </is>
      </c>
      <c r="E162" s="17" t="inlineStr">
        <is>
          <t>Thương Mại &amp; BD</t>
        </is>
      </c>
      <c r="F162" s="10" t="n">
        <v>85000000</v>
      </c>
      <c r="G162" s="10" t="n">
        <v>20000000</v>
      </c>
      <c r="H162" s="19" t="n">
        <v>103.1</v>
      </c>
      <c r="I162" s="10" t="n">
        <v>14726250</v>
      </c>
      <c r="J162" s="10" t="n">
        <v>85711138</v>
      </c>
      <c r="K162" s="10" t="n">
        <v>18021680</v>
      </c>
      <c r="L162" s="10" t="n">
        <v>223459068</v>
      </c>
      <c r="M162" s="10" t="n">
        <v>5296000</v>
      </c>
      <c r="N162" s="10" t="n">
        <v>200763068</v>
      </c>
      <c r="O162" s="10" t="n">
        <v>60417074</v>
      </c>
      <c r="P162" s="10" t="n">
        <v>157745994</v>
      </c>
      <c r="Q162" s="10" t="n">
        <v>10444000</v>
      </c>
      <c r="R162" s="10" t="n">
        <v>3000000</v>
      </c>
      <c r="S162" s="10" t="n">
        <v>236903068</v>
      </c>
      <c r="T162" s="10" t="n">
        <v>3674063797</v>
      </c>
    </row>
    <row r="163">
      <c r="A163" s="17" t="inlineStr">
        <is>
          <t>2025-11</t>
        </is>
      </c>
      <c r="B163" s="17" t="inlineStr">
        <is>
          <t>EMP006</t>
        </is>
      </c>
      <c r="C163" s="18" t="inlineStr">
        <is>
          <t>Đỗ Phương Thảo</t>
        </is>
      </c>
      <c r="D163" s="18" t="inlineStr">
        <is>
          <t>Giám Đốc Marketing &amp; Thương Hiệu (CMO)</t>
        </is>
      </c>
      <c r="E163" s="17" t="inlineStr">
        <is>
          <t>Tiếp Thị &amp; Brand</t>
        </is>
      </c>
      <c r="F163" s="13" t="n">
        <v>80000000</v>
      </c>
      <c r="G163" s="13" t="n">
        <v>12000000</v>
      </c>
      <c r="H163" s="20" t="n">
        <v>107.3</v>
      </c>
      <c r="I163" s="13" t="n">
        <v>16380000</v>
      </c>
      <c r="J163" s="13" t="n">
        <v>9558787</v>
      </c>
      <c r="K163" s="13" t="n">
        <v>0</v>
      </c>
      <c r="L163" s="13" t="n">
        <v>117938787</v>
      </c>
      <c r="M163" s="13" t="n">
        <v>5246000</v>
      </c>
      <c r="N163" s="13" t="n">
        <v>99692787</v>
      </c>
      <c r="O163" s="13" t="n">
        <v>25042475</v>
      </c>
      <c r="P163" s="13" t="n">
        <v>87650312</v>
      </c>
      <c r="Q163" s="13" t="n">
        <v>10394000</v>
      </c>
      <c r="R163" s="13" t="n">
        <v>3000000</v>
      </c>
      <c r="S163" s="13" t="n">
        <v>131332787</v>
      </c>
      <c r="T163" s="13" t="n">
        <v>0</v>
      </c>
    </row>
    <row r="164">
      <c r="A164" s="17" t="inlineStr">
        <is>
          <t>2025-11</t>
        </is>
      </c>
      <c r="B164" s="17" t="inlineStr">
        <is>
          <t>EMP007</t>
        </is>
      </c>
      <c r="C164" s="18" t="inlineStr">
        <is>
          <t>Hoàng Gia Bách</t>
        </is>
      </c>
      <c r="D164" s="18" t="inlineStr">
        <is>
          <t>Giám Đốc Chi Nhánh Hà Nội (Northern Regional Dir.)</t>
        </is>
      </c>
      <c r="E164" s="17" t="inlineStr">
        <is>
          <t>Khối Chi Nhánh</t>
        </is>
      </c>
      <c r="F164" s="10" t="n">
        <v>85000000</v>
      </c>
      <c r="G164" s="10" t="n">
        <v>15000000</v>
      </c>
      <c r="H164" s="19" t="n">
        <v>92.3</v>
      </c>
      <c r="I164" s="10" t="n">
        <v>7841250</v>
      </c>
      <c r="J164" s="10" t="n">
        <v>64945753</v>
      </c>
      <c r="K164" s="10" t="n">
        <v>14354649</v>
      </c>
      <c r="L164" s="10" t="n">
        <v>187141652</v>
      </c>
      <c r="M164" s="10" t="n">
        <v>5296000</v>
      </c>
      <c r="N164" s="10" t="n">
        <v>160045652</v>
      </c>
      <c r="O164" s="10" t="n">
        <v>46165978</v>
      </c>
      <c r="P164" s="10" t="n">
        <v>135679674</v>
      </c>
      <c r="Q164" s="10" t="n">
        <v>10444000</v>
      </c>
      <c r="R164" s="10" t="n">
        <v>3000000</v>
      </c>
      <c r="S164" s="10" t="n">
        <v>200585652</v>
      </c>
      <c r="T164" s="10" t="n">
        <v>3988983551</v>
      </c>
    </row>
    <row r="165">
      <c r="A165" s="17" t="inlineStr">
        <is>
          <t>2025-11</t>
        </is>
      </c>
      <c r="B165" s="17" t="inlineStr">
        <is>
          <t>EMP008</t>
        </is>
      </c>
      <c r="C165" s="18" t="inlineStr">
        <is>
          <t>Ngô Thị Bích Ngọc</t>
        </is>
      </c>
      <c r="D165" s="18" t="inlineStr">
        <is>
          <t>Giám Đốc Chi Nhánh TP.HCM (Southern Regional Dir.)</t>
        </is>
      </c>
      <c r="E165" s="17" t="inlineStr">
        <is>
          <t>Khối Chi Nhánh</t>
        </is>
      </c>
      <c r="F165" s="13" t="n">
        <v>90000000</v>
      </c>
      <c r="G165" s="13" t="n">
        <v>15000000</v>
      </c>
      <c r="H165" s="20" t="n">
        <v>111.8</v>
      </c>
      <c r="I165" s="13" t="n">
        <v>21465000</v>
      </c>
      <c r="J165" s="13" t="n">
        <v>79914985</v>
      </c>
      <c r="K165" s="13" t="n">
        <v>12450971</v>
      </c>
      <c r="L165" s="13" t="n">
        <v>218830956</v>
      </c>
      <c r="M165" s="13" t="n">
        <v>5346000</v>
      </c>
      <c r="N165" s="13" t="n">
        <v>196084956</v>
      </c>
      <c r="O165" s="13" t="n">
        <v>58779735</v>
      </c>
      <c r="P165" s="13" t="n">
        <v>154705221</v>
      </c>
      <c r="Q165" s="13" t="n">
        <v>10494000</v>
      </c>
      <c r="R165" s="13" t="n">
        <v>3000000</v>
      </c>
      <c r="S165" s="13" t="n">
        <v>232324956</v>
      </c>
      <c r="T165" s="13" t="n">
        <v>5038716064</v>
      </c>
    </row>
    <row r="166">
      <c r="A166" s="17" t="inlineStr">
        <is>
          <t>2025-11</t>
        </is>
      </c>
      <c r="B166" s="17" t="inlineStr">
        <is>
          <t>EMP009</t>
        </is>
      </c>
      <c r="C166" s="18" t="inlineStr">
        <is>
          <t>Trịnh Minh Trí</t>
        </is>
      </c>
      <c r="D166" s="18" t="inlineStr">
        <is>
          <t>Trưởng Ban Đối Ngoại &amp; Lãnh Sự (Head of Consular)</t>
        </is>
      </c>
      <c r="E166" s="17" t="inlineStr">
        <is>
          <t>Đối Ngoại Lãnh Sự</t>
        </is>
      </c>
      <c r="F166" s="10" t="n">
        <v>70000000</v>
      </c>
      <c r="G166" s="10" t="n">
        <v>15000000</v>
      </c>
      <c r="H166" s="19" t="n">
        <v>106.6</v>
      </c>
      <c r="I166" s="10" t="n">
        <v>13965000</v>
      </c>
      <c r="J166" s="10" t="n">
        <v>38576115</v>
      </c>
      <c r="K166" s="10" t="n">
        <v>9243362</v>
      </c>
      <c r="L166" s="10" t="n">
        <v>146784477</v>
      </c>
      <c r="M166" s="10" t="n">
        <v>5146000</v>
      </c>
      <c r="N166" s="10" t="n">
        <v>124238477</v>
      </c>
      <c r="O166" s="10" t="n">
        <v>33633467</v>
      </c>
      <c r="P166" s="10" t="n">
        <v>108005010</v>
      </c>
      <c r="Q166" s="10" t="n">
        <v>10294000</v>
      </c>
      <c r="R166" s="10" t="n">
        <v>3000000</v>
      </c>
      <c r="S166" s="10" t="n">
        <v>160078477</v>
      </c>
      <c r="T166" s="10" t="n">
        <v>0</v>
      </c>
    </row>
    <row r="167">
      <c r="A167" s="17" t="inlineStr">
        <is>
          <t>2025-11</t>
        </is>
      </c>
      <c r="B167" s="17" t="inlineStr">
        <is>
          <t>EMP010</t>
        </is>
      </c>
      <c r="C167" s="18" t="inlineStr">
        <is>
          <t>Bùi Thanh Mai</t>
        </is>
      </c>
      <c r="D167" s="18" t="inlineStr">
        <is>
          <t>Trưởng Ban An Cư (Head of Settlement Operations)</t>
        </is>
      </c>
      <c r="E167" s="17" t="inlineStr">
        <is>
          <t>Vận Hành An Cư</t>
        </is>
      </c>
      <c r="F167" s="13" t="n">
        <v>65000000</v>
      </c>
      <c r="G167" s="13" t="n">
        <v>10000000</v>
      </c>
      <c r="H167" s="20" t="n">
        <v>108.6</v>
      </c>
      <c r="I167" s="13" t="n">
        <v>13942500</v>
      </c>
      <c r="J167" s="13" t="n">
        <v>9103846</v>
      </c>
      <c r="K167" s="13" t="n">
        <v>0</v>
      </c>
      <c r="L167" s="13" t="n">
        <v>98046346</v>
      </c>
      <c r="M167" s="13" t="n">
        <v>5096000</v>
      </c>
      <c r="N167" s="13" t="n">
        <v>75550346</v>
      </c>
      <c r="O167" s="13" t="n">
        <v>16815104</v>
      </c>
      <c r="P167" s="13" t="n">
        <v>76135242</v>
      </c>
      <c r="Q167" s="13" t="n">
        <v>10244000</v>
      </c>
      <c r="R167" s="13" t="n">
        <v>3000000</v>
      </c>
      <c r="S167" s="13" t="n">
        <v>111290346</v>
      </c>
      <c r="T167" s="13" t="n">
        <v>0</v>
      </c>
    </row>
    <row r="168">
      <c r="A168" s="17" t="inlineStr">
        <is>
          <t>2025-11</t>
        </is>
      </c>
      <c r="B168" s="17" t="inlineStr">
        <is>
          <t>EMP011</t>
        </is>
      </c>
      <c r="C168" s="18" t="inlineStr">
        <is>
          <t>Đặng Văn Lâm</t>
        </is>
      </c>
      <c r="D168" s="18" t="inlineStr">
        <is>
          <t>Giám Đốc Tài Chính Quốc Tế (CFO)</t>
        </is>
      </c>
      <c r="E168" s="17" t="inlineStr">
        <is>
          <t>Tài Chính &amp; Kế Toán</t>
        </is>
      </c>
      <c r="F168" s="10" t="n">
        <v>90000000</v>
      </c>
      <c r="G168" s="10" t="n">
        <v>12000000</v>
      </c>
      <c r="H168" s="19" t="n">
        <v>106</v>
      </c>
      <c r="I168" s="10" t="n">
        <v>17550000</v>
      </c>
      <c r="J168" s="10" t="n">
        <v>16707240</v>
      </c>
      <c r="K168" s="10" t="n">
        <v>0</v>
      </c>
      <c r="L168" s="10" t="n">
        <v>136257240</v>
      </c>
      <c r="M168" s="10" t="n">
        <v>5346000</v>
      </c>
      <c r="N168" s="10" t="n">
        <v>109111240</v>
      </c>
      <c r="O168" s="10" t="n">
        <v>28338934</v>
      </c>
      <c r="P168" s="10" t="n">
        <v>102572306</v>
      </c>
      <c r="Q168" s="10" t="n">
        <v>10494000</v>
      </c>
      <c r="R168" s="10" t="n">
        <v>3000000</v>
      </c>
      <c r="S168" s="10" t="n">
        <v>149751240</v>
      </c>
      <c r="T168" s="10" t="n">
        <v>0</v>
      </c>
    </row>
    <row r="169">
      <c r="A169" s="17" t="inlineStr">
        <is>
          <t>2025-11</t>
        </is>
      </c>
      <c r="B169" s="17" t="inlineStr">
        <is>
          <t>EMP012</t>
        </is>
      </c>
      <c r="C169" s="18" t="inlineStr">
        <is>
          <t>Võ Quỳnh Trang</t>
        </is>
      </c>
      <c r="D169" s="18" t="inlineStr">
        <is>
          <t>Giám Đốc Nhân Sự &amp; Tuân Thủ (HR &amp; Compliance Dir.)</t>
        </is>
      </c>
      <c r="E169" s="17" t="inlineStr">
        <is>
          <t>Nhân Sự &amp; Quản Trị</t>
        </is>
      </c>
      <c r="F169" s="13" t="n">
        <v>65000000</v>
      </c>
      <c r="G169" s="13" t="n">
        <v>10000000</v>
      </c>
      <c r="H169" s="20" t="n">
        <v>90.5</v>
      </c>
      <c r="I169" s="13" t="n">
        <v>5118750</v>
      </c>
      <c r="J169" s="13" t="n">
        <v>13413231</v>
      </c>
      <c r="K169" s="13" t="n">
        <v>0</v>
      </c>
      <c r="L169" s="13" t="n">
        <v>93531981</v>
      </c>
      <c r="M169" s="13" t="n">
        <v>5096000</v>
      </c>
      <c r="N169" s="13" t="n">
        <v>71035981</v>
      </c>
      <c r="O169" s="13" t="n">
        <v>15460794</v>
      </c>
      <c r="P169" s="13" t="n">
        <v>72975187</v>
      </c>
      <c r="Q169" s="13" t="n">
        <v>10244000</v>
      </c>
      <c r="R169" s="13" t="n">
        <v>3000000</v>
      </c>
      <c r="S169" s="13" t="n">
        <v>106775981</v>
      </c>
      <c r="T169" s="13" t="n">
        <v>0</v>
      </c>
    </row>
    <row r="170">
      <c r="A170" s="17" t="inlineStr">
        <is>
          <t>2025-12</t>
        </is>
      </c>
      <c r="B170" s="17" t="inlineStr">
        <is>
          <t>EMP001</t>
        </is>
      </c>
      <c r="C170" s="18" t="inlineStr">
        <is>
          <t>Nguyễn Quốc Hùng</t>
        </is>
      </c>
      <c r="D170" s="18" t="inlineStr">
        <is>
          <t>Tổng Giám Đốc (Managing Director / CEO)</t>
        </is>
      </c>
      <c r="E170" s="17" t="inlineStr">
        <is>
          <t>Điều Hành Chung</t>
        </is>
      </c>
      <c r="F170" s="10" t="n">
        <v>130000000</v>
      </c>
      <c r="G170" s="10" t="n">
        <v>25000000</v>
      </c>
      <c r="H170" s="19" t="n">
        <v>107.8</v>
      </c>
      <c r="I170" s="10" t="n">
        <v>27105000</v>
      </c>
      <c r="J170" s="10" t="n">
        <v>95413029</v>
      </c>
      <c r="K170" s="10" t="n">
        <v>104000000</v>
      </c>
      <c r="L170" s="10" t="n">
        <v>381518029</v>
      </c>
      <c r="M170" s="10" t="n">
        <v>5438000</v>
      </c>
      <c r="N170" s="10" t="n">
        <v>354280029</v>
      </c>
      <c r="O170" s="10" t="n">
        <v>114148010</v>
      </c>
      <c r="P170" s="10" t="n">
        <v>261932019</v>
      </c>
      <c r="Q170" s="10" t="n">
        <v>10586000</v>
      </c>
      <c r="R170" s="10" t="n">
        <v>3000000</v>
      </c>
      <c r="S170" s="10" t="n">
        <v>395104029</v>
      </c>
      <c r="T170" s="10" t="n">
        <v>11926628676</v>
      </c>
    </row>
    <row r="171">
      <c r="A171" s="17" t="inlineStr">
        <is>
          <t>2025-12</t>
        </is>
      </c>
      <c r="B171" s="17" t="inlineStr">
        <is>
          <t>EMP002</t>
        </is>
      </c>
      <c r="C171" s="18" t="inlineStr">
        <is>
          <t>Trần Minh Tuấn</t>
        </is>
      </c>
      <c r="D171" s="18" t="inlineStr">
        <is>
          <t>Phó TGĐ Kinh Doanh (Deputy CEO &amp; Head of BD)</t>
        </is>
      </c>
      <c r="E171" s="17" t="inlineStr">
        <is>
          <t>Thương Mại &amp; BD</t>
        </is>
      </c>
      <c r="F171" s="13" t="n">
        <v>105000000</v>
      </c>
      <c r="G171" s="13" t="n">
        <v>20000000</v>
      </c>
      <c r="H171" s="20" t="n">
        <v>95.7</v>
      </c>
      <c r="I171" s="13" t="n">
        <v>12363750</v>
      </c>
      <c r="J171" s="13" t="n">
        <v>112825026</v>
      </c>
      <c r="K171" s="13" t="n">
        <v>17869256</v>
      </c>
      <c r="L171" s="13" t="n">
        <v>268058032</v>
      </c>
      <c r="M171" s="13" t="n">
        <v>5438000</v>
      </c>
      <c r="N171" s="13" t="n">
        <v>240820032</v>
      </c>
      <c r="O171" s="13" t="n">
        <v>74437011</v>
      </c>
      <c r="P171" s="13" t="n">
        <v>188183021</v>
      </c>
      <c r="Q171" s="13" t="n">
        <v>10586000</v>
      </c>
      <c r="R171" s="13" t="n">
        <v>3000000</v>
      </c>
      <c r="S171" s="13" t="n">
        <v>281644032</v>
      </c>
      <c r="T171" s="13" t="n">
        <v>7752308639</v>
      </c>
    </row>
    <row r="172">
      <c r="A172" s="17" t="inlineStr">
        <is>
          <t>2025-12</t>
        </is>
      </c>
      <c r="B172" s="17" t="inlineStr">
        <is>
          <t>EMP003</t>
        </is>
      </c>
      <c r="C172" s="18" t="inlineStr">
        <is>
          <t>LS. Lê Hoàng Nam</t>
        </is>
      </c>
      <c r="D172" s="18" t="inlineStr">
        <is>
          <t>Giám Đốc Pháp Lý &amp; Thụ Lý Hồ Sơ (Legal Director)</t>
        </is>
      </c>
      <c r="E172" s="17" t="inlineStr">
        <is>
          <t>Pháp Lý Di Trú</t>
        </is>
      </c>
      <c r="F172" s="10" t="n">
        <v>95000000</v>
      </c>
      <c r="G172" s="10" t="n">
        <v>15000000</v>
      </c>
      <c r="H172" s="19" t="n">
        <v>88.3</v>
      </c>
      <c r="I172" s="10" t="n">
        <v>5913750</v>
      </c>
      <c r="J172" s="10" t="n">
        <v>59201911</v>
      </c>
      <c r="K172" s="10" t="n">
        <v>6730843</v>
      </c>
      <c r="L172" s="10" t="n">
        <v>181846504</v>
      </c>
      <c r="M172" s="10" t="n">
        <v>5396000</v>
      </c>
      <c r="N172" s="10" t="n">
        <v>159050504</v>
      </c>
      <c r="O172" s="10" t="n">
        <v>45817676</v>
      </c>
      <c r="P172" s="10" t="n">
        <v>130632828</v>
      </c>
      <c r="Q172" s="10" t="n">
        <v>10544000</v>
      </c>
      <c r="R172" s="10" t="n">
        <v>3000000</v>
      </c>
      <c r="S172" s="10" t="n">
        <v>195390504</v>
      </c>
      <c r="T172" s="10" t="n">
        <v>0</v>
      </c>
    </row>
    <row r="173">
      <c r="A173" s="17" t="inlineStr">
        <is>
          <t>2025-12</t>
        </is>
      </c>
      <c r="B173" s="17" t="inlineStr">
        <is>
          <t>EMP004</t>
        </is>
      </c>
      <c r="C173" s="18" t="inlineStr">
        <is>
          <t>Phạm Thanh Hà</t>
        </is>
      </c>
      <c r="D173" s="18" t="inlineStr">
        <is>
          <t>Giám Đốc Thẩm Định Đầu Tư (Investment DD Director)</t>
        </is>
      </c>
      <c r="E173" s="17" t="inlineStr">
        <is>
          <t>Đầu Tư &amp; Thẩm Định</t>
        </is>
      </c>
      <c r="F173" s="13" t="n">
        <v>90000000</v>
      </c>
      <c r="G173" s="13" t="n">
        <v>15000000</v>
      </c>
      <c r="H173" s="20" t="n">
        <v>95.7</v>
      </c>
      <c r="I173" s="13" t="n">
        <v>10597500</v>
      </c>
      <c r="J173" s="13" t="n">
        <v>48101611</v>
      </c>
      <c r="K173" s="13" t="n">
        <v>0</v>
      </c>
      <c r="L173" s="13" t="n">
        <v>163699111</v>
      </c>
      <c r="M173" s="13" t="n">
        <v>5346000</v>
      </c>
      <c r="N173" s="13" t="n">
        <v>140953111</v>
      </c>
      <c r="O173" s="13" t="n">
        <v>39483589</v>
      </c>
      <c r="P173" s="13" t="n">
        <v>118869522</v>
      </c>
      <c r="Q173" s="13" t="n">
        <v>10494000</v>
      </c>
      <c r="R173" s="13" t="n">
        <v>3000000</v>
      </c>
      <c r="S173" s="13" t="n">
        <v>177193111</v>
      </c>
      <c r="T173" s="13" t="n">
        <v>0</v>
      </c>
    </row>
    <row r="174">
      <c r="A174" s="17" t="inlineStr">
        <is>
          <t>2025-12</t>
        </is>
      </c>
      <c r="B174" s="17" t="inlineStr">
        <is>
          <t>EMP005</t>
        </is>
      </c>
      <c r="C174" s="18" t="inlineStr">
        <is>
          <t>Vũ Hải Đăng</t>
        </is>
      </c>
      <c r="D174" s="18" t="inlineStr">
        <is>
          <t>Giám Đốc Khách Hàng VIP (Private Clients Director)</t>
        </is>
      </c>
      <c r="E174" s="17" t="inlineStr">
        <is>
          <t>Thương Mại &amp; BD</t>
        </is>
      </c>
      <c r="F174" s="10" t="n">
        <v>85000000</v>
      </c>
      <c r="G174" s="10" t="n">
        <v>20000000</v>
      </c>
      <c r="H174" s="19" t="n">
        <v>110.8</v>
      </c>
      <c r="I174" s="10" t="n">
        <v>19635000</v>
      </c>
      <c r="J174" s="10" t="n">
        <v>92914108</v>
      </c>
      <c r="K174" s="10" t="n">
        <v>18097399</v>
      </c>
      <c r="L174" s="10" t="n">
        <v>235646507</v>
      </c>
      <c r="M174" s="10" t="n">
        <v>5296000</v>
      </c>
      <c r="N174" s="10" t="n">
        <v>212950507</v>
      </c>
      <c r="O174" s="10" t="n">
        <v>64682677</v>
      </c>
      <c r="P174" s="10" t="n">
        <v>165667830</v>
      </c>
      <c r="Q174" s="10" t="n">
        <v>10444000</v>
      </c>
      <c r="R174" s="10" t="n">
        <v>3000000</v>
      </c>
      <c r="S174" s="10" t="n">
        <v>249090507</v>
      </c>
      <c r="T174" s="10" t="n">
        <v>4174320037</v>
      </c>
    </row>
    <row r="175">
      <c r="A175" s="17" t="inlineStr">
        <is>
          <t>2025-12</t>
        </is>
      </c>
      <c r="B175" s="17" t="inlineStr">
        <is>
          <t>EMP006</t>
        </is>
      </c>
      <c r="C175" s="18" t="inlineStr">
        <is>
          <t>Đỗ Phương Thảo</t>
        </is>
      </c>
      <c r="D175" s="18" t="inlineStr">
        <is>
          <t>Giám Đốc Marketing &amp; Thương Hiệu (CMO)</t>
        </is>
      </c>
      <c r="E175" s="17" t="inlineStr">
        <is>
          <t>Tiếp Thị &amp; Brand</t>
        </is>
      </c>
      <c r="F175" s="13" t="n">
        <v>80000000</v>
      </c>
      <c r="G175" s="13" t="n">
        <v>12000000</v>
      </c>
      <c r="H175" s="20" t="n">
        <v>98.8</v>
      </c>
      <c r="I175" s="13" t="n">
        <v>11280000</v>
      </c>
      <c r="J175" s="13" t="n">
        <v>9683961</v>
      </c>
      <c r="K175" s="13" t="n">
        <v>0</v>
      </c>
      <c r="L175" s="13" t="n">
        <v>112963961</v>
      </c>
      <c r="M175" s="13" t="n">
        <v>5246000</v>
      </c>
      <c r="N175" s="13" t="n">
        <v>94717961</v>
      </c>
      <c r="O175" s="13" t="n">
        <v>23301286</v>
      </c>
      <c r="P175" s="13" t="n">
        <v>84416675</v>
      </c>
      <c r="Q175" s="13" t="n">
        <v>10394000</v>
      </c>
      <c r="R175" s="13" t="n">
        <v>3000000</v>
      </c>
      <c r="S175" s="13" t="n">
        <v>126357961</v>
      </c>
      <c r="T175" s="13" t="n">
        <v>0</v>
      </c>
    </row>
    <row r="176">
      <c r="A176" s="17" t="inlineStr">
        <is>
          <t>2025-12</t>
        </is>
      </c>
      <c r="B176" s="17" t="inlineStr">
        <is>
          <t>EMP007</t>
        </is>
      </c>
      <c r="C176" s="18" t="inlineStr">
        <is>
          <t>Hoàng Gia Bách</t>
        </is>
      </c>
      <c r="D176" s="18" t="inlineStr">
        <is>
          <t>Giám Đốc Chi Nhánh Hà Nội (Northern Regional Dir.)</t>
        </is>
      </c>
      <c r="E176" s="17" t="inlineStr">
        <is>
          <t>Khối Chi Nhánh</t>
        </is>
      </c>
      <c r="F176" s="10" t="n">
        <v>85000000</v>
      </c>
      <c r="G176" s="10" t="n">
        <v>15000000</v>
      </c>
      <c r="H176" s="19" t="n">
        <v>95.90000000000001</v>
      </c>
      <c r="I176" s="10" t="n">
        <v>10136250</v>
      </c>
      <c r="J176" s="10" t="n">
        <v>73052492</v>
      </c>
      <c r="K176" s="10" t="n">
        <v>15549674</v>
      </c>
      <c r="L176" s="10" t="n">
        <v>198738416</v>
      </c>
      <c r="M176" s="10" t="n">
        <v>5296000</v>
      </c>
      <c r="N176" s="10" t="n">
        <v>171642416</v>
      </c>
      <c r="O176" s="10" t="n">
        <v>50224846</v>
      </c>
      <c r="P176" s="10" t="n">
        <v>143217570</v>
      </c>
      <c r="Q176" s="10" t="n">
        <v>10444000</v>
      </c>
      <c r="R176" s="10" t="n">
        <v>3000000</v>
      </c>
      <c r="S176" s="10" t="n">
        <v>212182416</v>
      </c>
      <c r="T176" s="10" t="n">
        <v>4532118897</v>
      </c>
    </row>
    <row r="177">
      <c r="A177" s="17" t="inlineStr">
        <is>
          <t>2025-12</t>
        </is>
      </c>
      <c r="B177" s="17" t="inlineStr">
        <is>
          <t>EMP008</t>
        </is>
      </c>
      <c r="C177" s="18" t="inlineStr">
        <is>
          <t>Ngô Thị Bích Ngọc</t>
        </is>
      </c>
      <c r="D177" s="18" t="inlineStr">
        <is>
          <t>Giám Đốc Chi Nhánh TP.HCM (Southern Regional Dir.)</t>
        </is>
      </c>
      <c r="E177" s="17" t="inlineStr">
        <is>
          <t>Khối Chi Nhánh</t>
        </is>
      </c>
      <c r="F177" s="13" t="n">
        <v>90000000</v>
      </c>
      <c r="G177" s="13" t="n">
        <v>15000000</v>
      </c>
      <c r="H177" s="20" t="n">
        <v>107</v>
      </c>
      <c r="I177" s="13" t="n">
        <v>18225000</v>
      </c>
      <c r="J177" s="13" t="n">
        <v>94249309</v>
      </c>
      <c r="K177" s="13" t="n">
        <v>10714348</v>
      </c>
      <c r="L177" s="13" t="n">
        <v>228188657</v>
      </c>
      <c r="M177" s="13" t="n">
        <v>5346000</v>
      </c>
      <c r="N177" s="13" t="n">
        <v>205442657</v>
      </c>
      <c r="O177" s="13" t="n">
        <v>62054930</v>
      </c>
      <c r="P177" s="13" t="n">
        <v>160787727</v>
      </c>
      <c r="Q177" s="13" t="n">
        <v>10494000</v>
      </c>
      <c r="R177" s="13" t="n">
        <v>3000000</v>
      </c>
      <c r="S177" s="13" t="n">
        <v>241682657</v>
      </c>
      <c r="T177" s="13" t="n">
        <v>5724781764</v>
      </c>
    </row>
    <row r="178">
      <c r="A178" s="17" t="inlineStr">
        <is>
          <t>2025-12</t>
        </is>
      </c>
      <c r="B178" s="17" t="inlineStr">
        <is>
          <t>EMP009</t>
        </is>
      </c>
      <c r="C178" s="18" t="inlineStr">
        <is>
          <t>Trịnh Minh Trí</t>
        </is>
      </c>
      <c r="D178" s="18" t="inlineStr">
        <is>
          <t>Trưởng Ban Đối Ngoại &amp; Lãnh Sự (Head of Consular)</t>
        </is>
      </c>
      <c r="E178" s="17" t="inlineStr">
        <is>
          <t>Đối Ngoại Lãnh Sự</t>
        </is>
      </c>
      <c r="F178" s="10" t="n">
        <v>70000000</v>
      </c>
      <c r="G178" s="10" t="n">
        <v>15000000</v>
      </c>
      <c r="H178" s="19" t="n">
        <v>99.90000000000001</v>
      </c>
      <c r="I178" s="10" t="n">
        <v>10447500</v>
      </c>
      <c r="J178" s="10" t="n">
        <v>30545486</v>
      </c>
      <c r="K178" s="10" t="n">
        <v>5572393</v>
      </c>
      <c r="L178" s="10" t="n">
        <v>131565379</v>
      </c>
      <c r="M178" s="10" t="n">
        <v>5146000</v>
      </c>
      <c r="N178" s="10" t="n">
        <v>109019379</v>
      </c>
      <c r="O178" s="10" t="n">
        <v>28306783</v>
      </c>
      <c r="P178" s="10" t="n">
        <v>98112596</v>
      </c>
      <c r="Q178" s="10" t="n">
        <v>10294000</v>
      </c>
      <c r="R178" s="10" t="n">
        <v>3000000</v>
      </c>
      <c r="S178" s="10" t="n">
        <v>144859379</v>
      </c>
      <c r="T178" s="10" t="n">
        <v>0</v>
      </c>
    </row>
    <row r="179">
      <c r="A179" s="17" t="inlineStr">
        <is>
          <t>2025-12</t>
        </is>
      </c>
      <c r="B179" s="17" t="inlineStr">
        <is>
          <t>EMP010</t>
        </is>
      </c>
      <c r="C179" s="18" t="inlineStr">
        <is>
          <t>Bùi Thanh Mai</t>
        </is>
      </c>
      <c r="D179" s="18" t="inlineStr">
        <is>
          <t>Trưởng Ban An Cư (Head of Settlement Operations)</t>
        </is>
      </c>
      <c r="E179" s="17" t="inlineStr">
        <is>
          <t>Vận Hành An Cư</t>
        </is>
      </c>
      <c r="F179" s="13" t="n">
        <v>65000000</v>
      </c>
      <c r="G179" s="13" t="n">
        <v>10000000</v>
      </c>
      <c r="H179" s="20" t="n">
        <v>98.59999999999999</v>
      </c>
      <c r="I179" s="13" t="n">
        <v>9067500</v>
      </c>
      <c r="J179" s="13" t="n">
        <v>13278108</v>
      </c>
      <c r="K179" s="13" t="n">
        <v>0</v>
      </c>
      <c r="L179" s="13" t="n">
        <v>97345608</v>
      </c>
      <c r="M179" s="13" t="n">
        <v>5096000</v>
      </c>
      <c r="N179" s="13" t="n">
        <v>74849608</v>
      </c>
      <c r="O179" s="13" t="n">
        <v>16604882</v>
      </c>
      <c r="P179" s="13" t="n">
        <v>75644726</v>
      </c>
      <c r="Q179" s="13" t="n">
        <v>10244000</v>
      </c>
      <c r="R179" s="13" t="n">
        <v>3000000</v>
      </c>
      <c r="S179" s="13" t="n">
        <v>110589608</v>
      </c>
      <c r="T179" s="13" t="n">
        <v>0</v>
      </c>
    </row>
    <row r="180">
      <c r="A180" s="17" t="inlineStr">
        <is>
          <t>2025-12</t>
        </is>
      </c>
      <c r="B180" s="17" t="inlineStr">
        <is>
          <t>EMP011</t>
        </is>
      </c>
      <c r="C180" s="18" t="inlineStr">
        <is>
          <t>Đặng Văn Lâm</t>
        </is>
      </c>
      <c r="D180" s="18" t="inlineStr">
        <is>
          <t>Giám Đốc Tài Chính Quốc Tế (CFO)</t>
        </is>
      </c>
      <c r="E180" s="17" t="inlineStr">
        <is>
          <t>Tài Chính &amp; Kế Toán</t>
        </is>
      </c>
      <c r="F180" s="10" t="n">
        <v>90000000</v>
      </c>
      <c r="G180" s="10" t="n">
        <v>12000000</v>
      </c>
      <c r="H180" s="19" t="n">
        <v>96.40000000000001</v>
      </c>
      <c r="I180" s="10" t="n">
        <v>11070000</v>
      </c>
      <c r="J180" s="10" t="n">
        <v>8675044</v>
      </c>
      <c r="K180" s="10" t="n">
        <v>0</v>
      </c>
      <c r="L180" s="10" t="n">
        <v>121745044</v>
      </c>
      <c r="M180" s="10" t="n">
        <v>5346000</v>
      </c>
      <c r="N180" s="10" t="n">
        <v>94599044</v>
      </c>
      <c r="O180" s="10" t="n">
        <v>23259665</v>
      </c>
      <c r="P180" s="10" t="n">
        <v>93139379</v>
      </c>
      <c r="Q180" s="10" t="n">
        <v>10494000</v>
      </c>
      <c r="R180" s="10" t="n">
        <v>3000000</v>
      </c>
      <c r="S180" s="10" t="n">
        <v>135239044</v>
      </c>
      <c r="T180" s="10" t="n">
        <v>0</v>
      </c>
    </row>
    <row r="181">
      <c r="A181" s="17" t="inlineStr">
        <is>
          <t>2025-12</t>
        </is>
      </c>
      <c r="B181" s="17" t="inlineStr">
        <is>
          <t>EMP012</t>
        </is>
      </c>
      <c r="C181" s="18" t="inlineStr">
        <is>
          <t>Võ Quỳnh Trang</t>
        </is>
      </c>
      <c r="D181" s="18" t="inlineStr">
        <is>
          <t>Giám Đốc Nhân Sự &amp; Tuân Thủ (HR &amp; Compliance Dir.)</t>
        </is>
      </c>
      <c r="E181" s="17" t="inlineStr">
        <is>
          <t>Nhân Sự &amp; Quản Trị</t>
        </is>
      </c>
      <c r="F181" s="13" t="n">
        <v>65000000</v>
      </c>
      <c r="G181" s="13" t="n">
        <v>10000000</v>
      </c>
      <c r="H181" s="20" t="n">
        <v>91.40000000000001</v>
      </c>
      <c r="I181" s="13" t="n">
        <v>5557500</v>
      </c>
      <c r="J181" s="13" t="n">
        <v>12129747</v>
      </c>
      <c r="K181" s="13" t="n">
        <v>0</v>
      </c>
      <c r="L181" s="13" t="n">
        <v>92687247</v>
      </c>
      <c r="M181" s="13" t="n">
        <v>5096000</v>
      </c>
      <c r="N181" s="13" t="n">
        <v>70191247</v>
      </c>
      <c r="O181" s="13" t="n">
        <v>15207374</v>
      </c>
      <c r="P181" s="13" t="n">
        <v>72383873</v>
      </c>
      <c r="Q181" s="13" t="n">
        <v>10244000</v>
      </c>
      <c r="R181" s="13" t="n">
        <v>3000000</v>
      </c>
      <c r="S181" s="13" t="n">
        <v>105931247</v>
      </c>
      <c r="T181" s="13" t="n">
        <v>0</v>
      </c>
    </row>
    <row r="182">
      <c r="A182" s="17" t="inlineStr">
        <is>
          <t>2026-01</t>
        </is>
      </c>
      <c r="B182" s="17" t="inlineStr">
        <is>
          <t>EMP001</t>
        </is>
      </c>
      <c r="C182" s="18" t="inlineStr">
        <is>
          <t>Nguyễn Quốc Hùng</t>
        </is>
      </c>
      <c r="D182" s="18" t="inlineStr">
        <is>
          <t>Tổng Giám Đốc (Managing Director / CEO)</t>
        </is>
      </c>
      <c r="E182" s="17" t="inlineStr">
        <is>
          <t>Điều Hành Chung</t>
        </is>
      </c>
      <c r="F182" s="10" t="n">
        <v>130000000</v>
      </c>
      <c r="G182" s="10" t="n">
        <v>25000000</v>
      </c>
      <c r="H182" s="19" t="n">
        <v>90.40000000000001</v>
      </c>
      <c r="I182" s="10" t="n">
        <v>10140000</v>
      </c>
      <c r="J182" s="10" t="n">
        <v>56849269</v>
      </c>
      <c r="K182" s="10" t="n">
        <v>0</v>
      </c>
      <c r="L182" s="10" t="n">
        <v>221989269</v>
      </c>
      <c r="M182" s="10" t="n">
        <v>5438000</v>
      </c>
      <c r="N182" s="10" t="n">
        <v>194751269</v>
      </c>
      <c r="O182" s="10" t="n">
        <v>58312944</v>
      </c>
      <c r="P182" s="10" t="n">
        <v>158238325</v>
      </c>
      <c r="Q182" s="10" t="n">
        <v>10586000</v>
      </c>
      <c r="R182" s="10" t="n">
        <v>3000000</v>
      </c>
      <c r="S182" s="10" t="n">
        <v>235575269</v>
      </c>
      <c r="T182" s="10" t="n">
        <v>7106158592</v>
      </c>
    </row>
    <row r="183">
      <c r="A183" s="17" t="inlineStr">
        <is>
          <t>2026-01</t>
        </is>
      </c>
      <c r="B183" s="17" t="inlineStr">
        <is>
          <t>EMP002</t>
        </is>
      </c>
      <c r="C183" s="18" t="inlineStr">
        <is>
          <t>Trần Minh Tuấn</t>
        </is>
      </c>
      <c r="D183" s="18" t="inlineStr">
        <is>
          <t>Phó TGĐ Kinh Doanh (Deputy CEO &amp; Head of BD)</t>
        </is>
      </c>
      <c r="E183" s="17" t="inlineStr">
        <is>
          <t>Thương Mại &amp; BD</t>
        </is>
      </c>
      <c r="F183" s="13" t="n">
        <v>105000000</v>
      </c>
      <c r="G183" s="13" t="n">
        <v>20000000</v>
      </c>
      <c r="H183" s="20" t="n">
        <v>90</v>
      </c>
      <c r="I183" s="13" t="n">
        <v>7875000</v>
      </c>
      <c r="J183" s="13" t="n">
        <v>65965631</v>
      </c>
      <c r="K183" s="13" t="n">
        <v>28066203</v>
      </c>
      <c r="L183" s="13" t="n">
        <v>226906834</v>
      </c>
      <c r="M183" s="13" t="n">
        <v>5438000</v>
      </c>
      <c r="N183" s="13" t="n">
        <v>199668834</v>
      </c>
      <c r="O183" s="13" t="n">
        <v>60034092</v>
      </c>
      <c r="P183" s="13" t="n">
        <v>161434742</v>
      </c>
      <c r="Q183" s="13" t="n">
        <v>10586000</v>
      </c>
      <c r="R183" s="13" t="n">
        <v>3000000</v>
      </c>
      <c r="S183" s="13" t="n">
        <v>240492834</v>
      </c>
      <c r="T183" s="13" t="n">
        <v>4619003085</v>
      </c>
    </row>
    <row r="184">
      <c r="A184" s="17" t="inlineStr">
        <is>
          <t>2026-01</t>
        </is>
      </c>
      <c r="B184" s="17" t="inlineStr">
        <is>
          <t>EMP003</t>
        </is>
      </c>
      <c r="C184" s="18" t="inlineStr">
        <is>
          <t>LS. Lê Hoàng Nam</t>
        </is>
      </c>
      <c r="D184" s="18" t="inlineStr">
        <is>
          <t>Giám Đốc Pháp Lý &amp; Thụ Lý Hồ Sơ (Legal Director)</t>
        </is>
      </c>
      <c r="E184" s="17" t="inlineStr">
        <is>
          <t>Pháp Lý Di Trú</t>
        </is>
      </c>
      <c r="F184" s="10" t="n">
        <v>95000000</v>
      </c>
      <c r="G184" s="10" t="n">
        <v>15000000</v>
      </c>
      <c r="H184" s="19" t="n">
        <v>107.7</v>
      </c>
      <c r="I184" s="10" t="n">
        <v>19736250</v>
      </c>
      <c r="J184" s="10" t="n">
        <v>30271723</v>
      </c>
      <c r="K184" s="10" t="n">
        <v>12970588</v>
      </c>
      <c r="L184" s="10" t="n">
        <v>172978561</v>
      </c>
      <c r="M184" s="10" t="n">
        <v>5396000</v>
      </c>
      <c r="N184" s="10" t="n">
        <v>150182561</v>
      </c>
      <c r="O184" s="10" t="n">
        <v>42713896</v>
      </c>
      <c r="P184" s="10" t="n">
        <v>124868665</v>
      </c>
      <c r="Q184" s="10" t="n">
        <v>10544000</v>
      </c>
      <c r="R184" s="10" t="n">
        <v>3000000</v>
      </c>
      <c r="S184" s="10" t="n">
        <v>186522561</v>
      </c>
      <c r="T184" s="10" t="n">
        <v>0</v>
      </c>
    </row>
    <row r="185">
      <c r="A185" s="17" t="inlineStr">
        <is>
          <t>2026-01</t>
        </is>
      </c>
      <c r="B185" s="17" t="inlineStr">
        <is>
          <t>EMP004</t>
        </is>
      </c>
      <c r="C185" s="18" t="inlineStr">
        <is>
          <t>Phạm Thanh Hà</t>
        </is>
      </c>
      <c r="D185" s="18" t="inlineStr">
        <is>
          <t>Giám Đốc Thẩm Định Đầu Tư (Investment DD Director)</t>
        </is>
      </c>
      <c r="E185" s="17" t="inlineStr">
        <is>
          <t>Đầu Tư &amp; Thẩm Định</t>
        </is>
      </c>
      <c r="F185" s="13" t="n">
        <v>90000000</v>
      </c>
      <c r="G185" s="13" t="n">
        <v>15000000</v>
      </c>
      <c r="H185" s="20" t="n">
        <v>90</v>
      </c>
      <c r="I185" s="13" t="n">
        <v>6750000</v>
      </c>
      <c r="J185" s="13" t="n">
        <v>28299594</v>
      </c>
      <c r="K185" s="13" t="n">
        <v>0</v>
      </c>
      <c r="L185" s="13" t="n">
        <v>140049594</v>
      </c>
      <c r="M185" s="13" t="n">
        <v>5346000</v>
      </c>
      <c r="N185" s="13" t="n">
        <v>117303594</v>
      </c>
      <c r="O185" s="13" t="n">
        <v>31206258</v>
      </c>
      <c r="P185" s="13" t="n">
        <v>103497336</v>
      </c>
      <c r="Q185" s="13" t="n">
        <v>10494000</v>
      </c>
      <c r="R185" s="13" t="n">
        <v>3000000</v>
      </c>
      <c r="S185" s="13" t="n">
        <v>153543594</v>
      </c>
      <c r="T185" s="13" t="n">
        <v>0</v>
      </c>
    </row>
    <row r="186">
      <c r="A186" s="17" t="inlineStr">
        <is>
          <t>2026-01</t>
        </is>
      </c>
      <c r="B186" s="17" t="inlineStr">
        <is>
          <t>EMP005</t>
        </is>
      </c>
      <c r="C186" s="18" t="inlineStr">
        <is>
          <t>Vũ Hải Đăng</t>
        </is>
      </c>
      <c r="D186" s="18" t="inlineStr">
        <is>
          <t>Giám Đốc Khách Hàng VIP (Private Clients Director)</t>
        </is>
      </c>
      <c r="E186" s="17" t="inlineStr">
        <is>
          <t>Thương Mại &amp; BD</t>
        </is>
      </c>
      <c r="F186" s="10" t="n">
        <v>85000000</v>
      </c>
      <c r="G186" s="10" t="n">
        <v>20000000</v>
      </c>
      <c r="H186" s="19" t="n">
        <v>97</v>
      </c>
      <c r="I186" s="10" t="n">
        <v>10837500</v>
      </c>
      <c r="J186" s="10" t="n">
        <v>53584921</v>
      </c>
      <c r="K186" s="10" t="n">
        <v>36677799</v>
      </c>
      <c r="L186" s="10" t="n">
        <v>206100220</v>
      </c>
      <c r="M186" s="10" t="n">
        <v>5296000</v>
      </c>
      <c r="N186" s="10" t="n">
        <v>183404220</v>
      </c>
      <c r="O186" s="10" t="n">
        <v>54341477</v>
      </c>
      <c r="P186" s="10" t="n">
        <v>146462743</v>
      </c>
      <c r="Q186" s="10" t="n">
        <v>10444000</v>
      </c>
      <c r="R186" s="10" t="n">
        <v>3000000</v>
      </c>
      <c r="S186" s="10" t="n">
        <v>219544220</v>
      </c>
      <c r="T186" s="10" t="n">
        <v>2487155507</v>
      </c>
    </row>
    <row r="187">
      <c r="A187" s="17" t="inlineStr">
        <is>
          <t>2026-01</t>
        </is>
      </c>
      <c r="B187" s="17" t="inlineStr">
        <is>
          <t>EMP006</t>
        </is>
      </c>
      <c r="C187" s="18" t="inlineStr">
        <is>
          <t>Đỗ Phương Thảo</t>
        </is>
      </c>
      <c r="D187" s="18" t="inlineStr">
        <is>
          <t>Giám Đốc Marketing &amp; Thương Hiệu (CMO)</t>
        </is>
      </c>
      <c r="E187" s="17" t="inlineStr">
        <is>
          <t>Tiếp Thị &amp; Brand</t>
        </is>
      </c>
      <c r="F187" s="13" t="n">
        <v>80000000</v>
      </c>
      <c r="G187" s="13" t="n">
        <v>12000000</v>
      </c>
      <c r="H187" s="20" t="n">
        <v>110.7</v>
      </c>
      <c r="I187" s="13" t="n">
        <v>18420000</v>
      </c>
      <c r="J187" s="13" t="n">
        <v>17443212</v>
      </c>
      <c r="K187" s="13" t="n">
        <v>0</v>
      </c>
      <c r="L187" s="13" t="n">
        <v>127863212</v>
      </c>
      <c r="M187" s="13" t="n">
        <v>5246000</v>
      </c>
      <c r="N187" s="13" t="n">
        <v>109617212</v>
      </c>
      <c r="O187" s="13" t="n">
        <v>28516024</v>
      </c>
      <c r="P187" s="13" t="n">
        <v>94101188</v>
      </c>
      <c r="Q187" s="13" t="n">
        <v>10394000</v>
      </c>
      <c r="R187" s="13" t="n">
        <v>3000000</v>
      </c>
      <c r="S187" s="13" t="n">
        <v>141257212</v>
      </c>
      <c r="T187" s="13" t="n">
        <v>0</v>
      </c>
    </row>
    <row r="188">
      <c r="A188" s="17" t="inlineStr">
        <is>
          <t>2026-01</t>
        </is>
      </c>
      <c r="B188" s="17" t="inlineStr">
        <is>
          <t>EMP007</t>
        </is>
      </c>
      <c r="C188" s="18" t="inlineStr">
        <is>
          <t>Hoàng Gia Bách</t>
        </is>
      </c>
      <c r="D188" s="18" t="inlineStr">
        <is>
          <t>Giám Đốc Chi Nhánh Hà Nội (Northern Regional Dir.)</t>
        </is>
      </c>
      <c r="E188" s="17" t="inlineStr">
        <is>
          <t>Khối Chi Nhánh</t>
        </is>
      </c>
      <c r="F188" s="10" t="n">
        <v>85000000</v>
      </c>
      <c r="G188" s="10" t="n">
        <v>15000000</v>
      </c>
      <c r="H188" s="19" t="n">
        <v>106.1</v>
      </c>
      <c r="I188" s="10" t="n">
        <v>16638750</v>
      </c>
      <c r="J188" s="10" t="n">
        <v>41862349</v>
      </c>
      <c r="K188" s="10" t="n">
        <v>17968377</v>
      </c>
      <c r="L188" s="10" t="n">
        <v>176469476</v>
      </c>
      <c r="M188" s="10" t="n">
        <v>5296000</v>
      </c>
      <c r="N188" s="10" t="n">
        <v>149373476</v>
      </c>
      <c r="O188" s="10" t="n">
        <v>42430717</v>
      </c>
      <c r="P188" s="10" t="n">
        <v>128742759</v>
      </c>
      <c r="Q188" s="10" t="n">
        <v>10444000</v>
      </c>
      <c r="R188" s="10" t="n">
        <v>3000000</v>
      </c>
      <c r="S188" s="10" t="n">
        <v>189913476</v>
      </c>
      <c r="T188" s="10" t="n">
        <v>2700340265</v>
      </c>
    </row>
    <row r="189">
      <c r="A189" s="17" t="inlineStr">
        <is>
          <t>2026-01</t>
        </is>
      </c>
      <c r="B189" s="17" t="inlineStr">
        <is>
          <t>EMP008</t>
        </is>
      </c>
      <c r="C189" s="18" t="inlineStr">
        <is>
          <t>Ngô Thị Bích Ngọc</t>
        </is>
      </c>
      <c r="D189" s="18" t="inlineStr">
        <is>
          <t>Giám Đốc Chi Nhánh TP.HCM (Southern Regional Dir.)</t>
        </is>
      </c>
      <c r="E189" s="17" t="inlineStr">
        <is>
          <t>Khối Chi Nhánh</t>
        </is>
      </c>
      <c r="F189" s="13" t="n">
        <v>90000000</v>
      </c>
      <c r="G189" s="13" t="n">
        <v>15000000</v>
      </c>
      <c r="H189" s="20" t="n">
        <v>106.7</v>
      </c>
      <c r="I189" s="13" t="n">
        <v>18022500</v>
      </c>
      <c r="J189" s="13" t="n">
        <v>54894041</v>
      </c>
      <c r="K189" s="13" t="n">
        <v>30108158</v>
      </c>
      <c r="L189" s="13" t="n">
        <v>208024699</v>
      </c>
      <c r="M189" s="13" t="n">
        <v>5346000</v>
      </c>
      <c r="N189" s="13" t="n">
        <v>185278699</v>
      </c>
      <c r="O189" s="13" t="n">
        <v>54997545</v>
      </c>
      <c r="P189" s="13" t="n">
        <v>147681154</v>
      </c>
      <c r="Q189" s="13" t="n">
        <v>10494000</v>
      </c>
      <c r="R189" s="13" t="n">
        <v>3000000</v>
      </c>
      <c r="S189" s="13" t="n">
        <v>221518699</v>
      </c>
      <c r="T189" s="13" t="n">
        <v>3410956124</v>
      </c>
    </row>
    <row r="190">
      <c r="A190" s="17" t="inlineStr">
        <is>
          <t>2026-01</t>
        </is>
      </c>
      <c r="B190" s="17" t="inlineStr">
        <is>
          <t>EMP009</t>
        </is>
      </c>
      <c r="C190" s="18" t="inlineStr">
        <is>
          <t>Trịnh Minh Trí</t>
        </is>
      </c>
      <c r="D190" s="18" t="inlineStr">
        <is>
          <t>Trưởng Ban Đối Ngoại &amp; Lãnh Sự (Head of Consular)</t>
        </is>
      </c>
      <c r="E190" s="17" t="inlineStr">
        <is>
          <t>Đối Ngoại Lãnh Sự</t>
        </is>
      </c>
      <c r="F190" s="10" t="n">
        <v>70000000</v>
      </c>
      <c r="G190" s="10" t="n">
        <v>15000000</v>
      </c>
      <c r="H190" s="19" t="n">
        <v>109.8</v>
      </c>
      <c r="I190" s="10" t="n">
        <v>15645000</v>
      </c>
      <c r="J190" s="10" t="n">
        <v>18668351</v>
      </c>
      <c r="K190" s="10" t="n">
        <v>10686115</v>
      </c>
      <c r="L190" s="10" t="n">
        <v>129999466</v>
      </c>
      <c r="M190" s="10" t="n">
        <v>5146000</v>
      </c>
      <c r="N190" s="10" t="n">
        <v>107453466</v>
      </c>
      <c r="O190" s="10" t="n">
        <v>27758713</v>
      </c>
      <c r="P190" s="10" t="n">
        <v>97094753</v>
      </c>
      <c r="Q190" s="10" t="n">
        <v>10294000</v>
      </c>
      <c r="R190" s="10" t="n">
        <v>3000000</v>
      </c>
      <c r="S190" s="10" t="n">
        <v>143293466</v>
      </c>
      <c r="T190" s="10" t="n">
        <v>0</v>
      </c>
    </row>
    <row r="191">
      <c r="A191" s="17" t="inlineStr">
        <is>
          <t>2026-01</t>
        </is>
      </c>
      <c r="B191" s="17" t="inlineStr">
        <is>
          <t>EMP010</t>
        </is>
      </c>
      <c r="C191" s="18" t="inlineStr">
        <is>
          <t>Bùi Thanh Mai</t>
        </is>
      </c>
      <c r="D191" s="18" t="inlineStr">
        <is>
          <t>Trưởng Ban An Cư (Head of Settlement Operations)</t>
        </is>
      </c>
      <c r="E191" s="17" t="inlineStr">
        <is>
          <t>Vận Hành An Cư</t>
        </is>
      </c>
      <c r="F191" s="13" t="n">
        <v>65000000</v>
      </c>
      <c r="G191" s="13" t="n">
        <v>10000000</v>
      </c>
      <c r="H191" s="20" t="n">
        <v>88.3</v>
      </c>
      <c r="I191" s="13" t="n">
        <v>4046250</v>
      </c>
      <c r="J191" s="13" t="n">
        <v>9464812</v>
      </c>
      <c r="K191" s="13" t="n">
        <v>0</v>
      </c>
      <c r="L191" s="13" t="n">
        <v>88511062</v>
      </c>
      <c r="M191" s="13" t="n">
        <v>5096000</v>
      </c>
      <c r="N191" s="13" t="n">
        <v>66015062</v>
      </c>
      <c r="O191" s="13" t="n">
        <v>13954519</v>
      </c>
      <c r="P191" s="13" t="n">
        <v>69460543</v>
      </c>
      <c r="Q191" s="13" t="n">
        <v>10244000</v>
      </c>
      <c r="R191" s="13" t="n">
        <v>3000000</v>
      </c>
      <c r="S191" s="13" t="n">
        <v>101755062</v>
      </c>
      <c r="T191" s="13" t="n">
        <v>0</v>
      </c>
    </row>
    <row r="192">
      <c r="A192" s="17" t="inlineStr">
        <is>
          <t>2026-01</t>
        </is>
      </c>
      <c r="B192" s="17" t="inlineStr">
        <is>
          <t>EMP011</t>
        </is>
      </c>
      <c r="C192" s="18" t="inlineStr">
        <is>
          <t>Đặng Văn Lâm</t>
        </is>
      </c>
      <c r="D192" s="18" t="inlineStr">
        <is>
          <t>Giám Đốc Tài Chính Quốc Tế (CFO)</t>
        </is>
      </c>
      <c r="E192" s="17" t="inlineStr">
        <is>
          <t>Tài Chính &amp; Kế Toán</t>
        </is>
      </c>
      <c r="F192" s="10" t="n">
        <v>90000000</v>
      </c>
      <c r="G192" s="10" t="n">
        <v>12000000</v>
      </c>
      <c r="H192" s="19" t="n">
        <v>89.40000000000001</v>
      </c>
      <c r="I192" s="10" t="n">
        <v>6345000</v>
      </c>
      <c r="J192" s="10" t="n">
        <v>8697106</v>
      </c>
      <c r="K192" s="10" t="n">
        <v>0</v>
      </c>
      <c r="L192" s="10" t="n">
        <v>117042106</v>
      </c>
      <c r="M192" s="10" t="n">
        <v>5346000</v>
      </c>
      <c r="N192" s="10" t="n">
        <v>89896106</v>
      </c>
      <c r="O192" s="10" t="n">
        <v>21613637</v>
      </c>
      <c r="P192" s="10" t="n">
        <v>90082469</v>
      </c>
      <c r="Q192" s="10" t="n">
        <v>10494000</v>
      </c>
      <c r="R192" s="10" t="n">
        <v>3000000</v>
      </c>
      <c r="S192" s="10" t="n">
        <v>130536106</v>
      </c>
      <c r="T192" s="10" t="n">
        <v>0</v>
      </c>
    </row>
    <row r="193">
      <c r="A193" s="17" t="inlineStr">
        <is>
          <t>2026-01</t>
        </is>
      </c>
      <c r="B193" s="17" t="inlineStr">
        <is>
          <t>EMP012</t>
        </is>
      </c>
      <c r="C193" s="18" t="inlineStr">
        <is>
          <t>Võ Quỳnh Trang</t>
        </is>
      </c>
      <c r="D193" s="18" t="inlineStr">
        <is>
          <t>Giám Đốc Nhân Sự &amp; Tuân Thủ (HR &amp; Compliance Dir.)</t>
        </is>
      </c>
      <c r="E193" s="17" t="inlineStr">
        <is>
          <t>Nhân Sự &amp; Quản Trị</t>
        </is>
      </c>
      <c r="F193" s="13" t="n">
        <v>65000000</v>
      </c>
      <c r="G193" s="13" t="n">
        <v>10000000</v>
      </c>
      <c r="H193" s="20" t="n">
        <v>90.8</v>
      </c>
      <c r="I193" s="13" t="n">
        <v>5265000</v>
      </c>
      <c r="J193" s="13" t="n">
        <v>11107814</v>
      </c>
      <c r="K193" s="13" t="n">
        <v>0</v>
      </c>
      <c r="L193" s="13" t="n">
        <v>91372814</v>
      </c>
      <c r="M193" s="13" t="n">
        <v>5096000</v>
      </c>
      <c r="N193" s="13" t="n">
        <v>68876814</v>
      </c>
      <c r="O193" s="13" t="n">
        <v>14813044</v>
      </c>
      <c r="P193" s="13" t="n">
        <v>71463770</v>
      </c>
      <c r="Q193" s="13" t="n">
        <v>10244000</v>
      </c>
      <c r="R193" s="13" t="n">
        <v>3000000</v>
      </c>
      <c r="S193" s="13" t="n">
        <v>104616814</v>
      </c>
      <c r="T193" s="13" t="n">
        <v>0</v>
      </c>
    </row>
    <row r="194">
      <c r="A194" s="17" t="inlineStr">
        <is>
          <t>2026-02</t>
        </is>
      </c>
      <c r="B194" s="17" t="inlineStr">
        <is>
          <t>EMP001</t>
        </is>
      </c>
      <c r="C194" s="18" t="inlineStr">
        <is>
          <t>Nguyễn Quốc Hùng</t>
        </is>
      </c>
      <c r="D194" s="18" t="inlineStr">
        <is>
          <t>Tổng Giám Đốc (Managing Director / CEO)</t>
        </is>
      </c>
      <c r="E194" s="17" t="inlineStr">
        <is>
          <t>Điều Hành Chung</t>
        </is>
      </c>
      <c r="F194" s="10" t="n">
        <v>130000000</v>
      </c>
      <c r="G194" s="10" t="n">
        <v>25000000</v>
      </c>
      <c r="H194" s="19" t="n">
        <v>102</v>
      </c>
      <c r="I194" s="10" t="n">
        <v>21450000</v>
      </c>
      <c r="J194" s="10" t="n">
        <v>54907323</v>
      </c>
      <c r="K194" s="10" t="n">
        <v>0</v>
      </c>
      <c r="L194" s="10" t="n">
        <v>231357323</v>
      </c>
      <c r="M194" s="10" t="n">
        <v>5438000</v>
      </c>
      <c r="N194" s="10" t="n">
        <v>204119323</v>
      </c>
      <c r="O194" s="10" t="n">
        <v>61591763</v>
      </c>
      <c r="P194" s="10" t="n">
        <v>164327560</v>
      </c>
      <c r="Q194" s="10" t="n">
        <v>10586000</v>
      </c>
      <c r="R194" s="10" t="n">
        <v>3000000</v>
      </c>
      <c r="S194" s="10" t="n">
        <v>244943323</v>
      </c>
      <c r="T194" s="10" t="n">
        <v>6863415390</v>
      </c>
    </row>
    <row r="195">
      <c r="A195" s="17" t="inlineStr">
        <is>
          <t>2026-02</t>
        </is>
      </c>
      <c r="B195" s="17" t="inlineStr">
        <is>
          <t>EMP002</t>
        </is>
      </c>
      <c r="C195" s="18" t="inlineStr">
        <is>
          <t>Trần Minh Tuấn</t>
        </is>
      </c>
      <c r="D195" s="18" t="inlineStr">
        <is>
          <t>Phó TGĐ Kinh Doanh (Deputy CEO &amp; Head of BD)</t>
        </is>
      </c>
      <c r="E195" s="17" t="inlineStr">
        <is>
          <t>Thương Mại &amp; BD</t>
        </is>
      </c>
      <c r="F195" s="13" t="n">
        <v>105000000</v>
      </c>
      <c r="G195" s="13" t="n">
        <v>20000000</v>
      </c>
      <c r="H195" s="20" t="n">
        <v>111.1</v>
      </c>
      <c r="I195" s="13" t="n">
        <v>24491250</v>
      </c>
      <c r="J195" s="13" t="n">
        <v>61675558</v>
      </c>
      <c r="K195" s="13" t="n">
        <v>8810774</v>
      </c>
      <c r="L195" s="13" t="n">
        <v>219977582</v>
      </c>
      <c r="M195" s="13" t="n">
        <v>5438000</v>
      </c>
      <c r="N195" s="13" t="n">
        <v>192739582</v>
      </c>
      <c r="O195" s="13" t="n">
        <v>57608854</v>
      </c>
      <c r="P195" s="13" t="n">
        <v>156930728</v>
      </c>
      <c r="Q195" s="13" t="n">
        <v>10586000</v>
      </c>
      <c r="R195" s="13" t="n">
        <v>3000000</v>
      </c>
      <c r="S195" s="13" t="n">
        <v>233563582</v>
      </c>
      <c r="T195" s="13" t="n">
        <v>4461220004</v>
      </c>
    </row>
    <row r="196">
      <c r="A196" s="17" t="inlineStr">
        <is>
          <t>2026-02</t>
        </is>
      </c>
      <c r="B196" s="17" t="inlineStr">
        <is>
          <t>EMP003</t>
        </is>
      </c>
      <c r="C196" s="18" t="inlineStr">
        <is>
          <t>LS. Lê Hoàng Nam</t>
        </is>
      </c>
      <c r="D196" s="18" t="inlineStr">
        <is>
          <t>Giám Đốc Pháp Lý &amp; Thụ Lý Hồ Sơ (Legal Director)</t>
        </is>
      </c>
      <c r="E196" s="17" t="inlineStr">
        <is>
          <t>Pháp Lý Di Trú</t>
        </is>
      </c>
      <c r="F196" s="10" t="n">
        <v>95000000</v>
      </c>
      <c r="G196" s="10" t="n">
        <v>15000000</v>
      </c>
      <c r="H196" s="19" t="n">
        <v>108.8</v>
      </c>
      <c r="I196" s="10" t="n">
        <v>20520000</v>
      </c>
      <c r="J196" s="10" t="n">
        <v>19469444</v>
      </c>
      <c r="K196" s="10" t="n">
        <v>4759955</v>
      </c>
      <c r="L196" s="10" t="n">
        <v>154749399</v>
      </c>
      <c r="M196" s="10" t="n">
        <v>5396000</v>
      </c>
      <c r="N196" s="10" t="n">
        <v>131953399</v>
      </c>
      <c r="O196" s="10" t="n">
        <v>36333690</v>
      </c>
      <c r="P196" s="10" t="n">
        <v>113019709</v>
      </c>
      <c r="Q196" s="10" t="n">
        <v>10544000</v>
      </c>
      <c r="R196" s="10" t="n">
        <v>3000000</v>
      </c>
      <c r="S196" s="10" t="n">
        <v>168293399</v>
      </c>
      <c r="T196" s="10" t="n">
        <v>0</v>
      </c>
    </row>
    <row r="197">
      <c r="A197" s="17" t="inlineStr">
        <is>
          <t>2026-02</t>
        </is>
      </c>
      <c r="B197" s="17" t="inlineStr">
        <is>
          <t>EMP004</t>
        </is>
      </c>
      <c r="C197" s="18" t="inlineStr">
        <is>
          <t>Phạm Thanh Hà</t>
        </is>
      </c>
      <c r="D197" s="18" t="inlineStr">
        <is>
          <t>Giám Đốc Thẩm Định Đầu Tư (Investment DD Director)</t>
        </is>
      </c>
      <c r="E197" s="17" t="inlineStr">
        <is>
          <t>Đầu Tư &amp; Thẩm Định</t>
        </is>
      </c>
      <c r="F197" s="13" t="n">
        <v>90000000</v>
      </c>
      <c r="G197" s="13" t="n">
        <v>15000000</v>
      </c>
      <c r="H197" s="20" t="n">
        <v>88.3</v>
      </c>
      <c r="I197" s="13" t="n">
        <v>5602500</v>
      </c>
      <c r="J197" s="13" t="n">
        <v>26178304</v>
      </c>
      <c r="K197" s="13" t="n">
        <v>0</v>
      </c>
      <c r="L197" s="13" t="n">
        <v>136780804</v>
      </c>
      <c r="M197" s="13" t="n">
        <v>5346000</v>
      </c>
      <c r="N197" s="13" t="n">
        <v>114034804</v>
      </c>
      <c r="O197" s="13" t="n">
        <v>30062181</v>
      </c>
      <c r="P197" s="13" t="n">
        <v>101372623</v>
      </c>
      <c r="Q197" s="13" t="n">
        <v>10494000</v>
      </c>
      <c r="R197" s="13" t="n">
        <v>3000000</v>
      </c>
      <c r="S197" s="13" t="n">
        <v>150274804</v>
      </c>
      <c r="T197" s="13" t="n">
        <v>0</v>
      </c>
    </row>
    <row r="198">
      <c r="A198" s="17" t="inlineStr">
        <is>
          <t>2026-02</t>
        </is>
      </c>
      <c r="B198" s="17" t="inlineStr">
        <is>
          <t>EMP005</t>
        </is>
      </c>
      <c r="C198" s="18" t="inlineStr">
        <is>
          <t>Vũ Hải Đăng</t>
        </is>
      </c>
      <c r="D198" s="18" t="inlineStr">
        <is>
          <t>Giám Đốc Khách Hàng VIP (Private Clients Director)</t>
        </is>
      </c>
      <c r="E198" s="17" t="inlineStr">
        <is>
          <t>Thương Mại &amp; BD</t>
        </is>
      </c>
      <c r="F198" s="10" t="n">
        <v>85000000</v>
      </c>
      <c r="G198" s="10" t="n">
        <v>20000000</v>
      </c>
      <c r="H198" s="19" t="n">
        <v>89</v>
      </c>
      <c r="I198" s="10" t="n">
        <v>5737500</v>
      </c>
      <c r="J198" s="10" t="n">
        <v>56155698</v>
      </c>
      <c r="K198" s="10" t="n">
        <v>10060583</v>
      </c>
      <c r="L198" s="10" t="n">
        <v>176953781</v>
      </c>
      <c r="M198" s="10" t="n">
        <v>5296000</v>
      </c>
      <c r="N198" s="10" t="n">
        <v>154257781</v>
      </c>
      <c r="O198" s="10" t="n">
        <v>44140223</v>
      </c>
      <c r="P198" s="10" t="n">
        <v>127517558</v>
      </c>
      <c r="Q198" s="10" t="n">
        <v>10444000</v>
      </c>
      <c r="R198" s="10" t="n">
        <v>3000000</v>
      </c>
      <c r="S198" s="10" t="n">
        <v>190397781</v>
      </c>
      <c r="T198" s="10" t="n">
        <v>2402195386</v>
      </c>
    </row>
    <row r="199">
      <c r="A199" s="17" t="inlineStr">
        <is>
          <t>2026-02</t>
        </is>
      </c>
      <c r="B199" s="17" t="inlineStr">
        <is>
          <t>EMP006</t>
        </is>
      </c>
      <c r="C199" s="18" t="inlineStr">
        <is>
          <t>Đỗ Phương Thảo</t>
        </is>
      </c>
      <c r="D199" s="18" t="inlineStr">
        <is>
          <t>Giám Đốc Marketing &amp; Thương Hiệu (CMO)</t>
        </is>
      </c>
      <c r="E199" s="17" t="inlineStr">
        <is>
          <t>Tiếp Thị &amp; Brand</t>
        </is>
      </c>
      <c r="F199" s="13" t="n">
        <v>80000000</v>
      </c>
      <c r="G199" s="13" t="n">
        <v>12000000</v>
      </c>
      <c r="H199" s="20" t="n">
        <v>111.8</v>
      </c>
      <c r="I199" s="13" t="n">
        <v>19080000</v>
      </c>
      <c r="J199" s="13" t="n">
        <v>7226522</v>
      </c>
      <c r="K199" s="13" t="n">
        <v>0</v>
      </c>
      <c r="L199" s="13" t="n">
        <v>118306522</v>
      </c>
      <c r="M199" s="13" t="n">
        <v>5246000</v>
      </c>
      <c r="N199" s="13" t="n">
        <v>100060522</v>
      </c>
      <c r="O199" s="13" t="n">
        <v>25171183</v>
      </c>
      <c r="P199" s="13" t="n">
        <v>87889339</v>
      </c>
      <c r="Q199" s="13" t="n">
        <v>10394000</v>
      </c>
      <c r="R199" s="13" t="n">
        <v>3000000</v>
      </c>
      <c r="S199" s="13" t="n">
        <v>131700522</v>
      </c>
      <c r="T199" s="13" t="n">
        <v>0</v>
      </c>
    </row>
    <row r="200">
      <c r="A200" s="17" t="inlineStr">
        <is>
          <t>2026-02</t>
        </is>
      </c>
      <c r="B200" s="17" t="inlineStr">
        <is>
          <t>EMP007</t>
        </is>
      </c>
      <c r="C200" s="18" t="inlineStr">
        <is>
          <t>Hoàng Gia Bách</t>
        </is>
      </c>
      <c r="D200" s="18" t="inlineStr">
        <is>
          <t>Giám Đốc Chi Nhánh Hà Nội (Northern Regional Dir.)</t>
        </is>
      </c>
      <c r="E200" s="17" t="inlineStr">
        <is>
          <t>Khối Chi Nhánh</t>
        </is>
      </c>
      <c r="F200" s="10" t="n">
        <v>85000000</v>
      </c>
      <c r="G200" s="10" t="n">
        <v>15000000</v>
      </c>
      <c r="H200" s="19" t="n">
        <v>101.3</v>
      </c>
      <c r="I200" s="10" t="n">
        <v>13578750</v>
      </c>
      <c r="J200" s="10" t="n">
        <v>43649515</v>
      </c>
      <c r="K200" s="10" t="n">
        <v>7789897</v>
      </c>
      <c r="L200" s="10" t="n">
        <v>165018162</v>
      </c>
      <c r="M200" s="10" t="n">
        <v>5296000</v>
      </c>
      <c r="N200" s="10" t="n">
        <v>137922162</v>
      </c>
      <c r="O200" s="10" t="n">
        <v>38422757</v>
      </c>
      <c r="P200" s="10" t="n">
        <v>121299405</v>
      </c>
      <c r="Q200" s="10" t="n">
        <v>10444000</v>
      </c>
      <c r="R200" s="10" t="n">
        <v>3000000</v>
      </c>
      <c r="S200" s="10" t="n">
        <v>178462162</v>
      </c>
      <c r="T200" s="10" t="n">
        <v>2608097848</v>
      </c>
    </row>
    <row r="201">
      <c r="A201" s="17" t="inlineStr">
        <is>
          <t>2026-02</t>
        </is>
      </c>
      <c r="B201" s="17" t="inlineStr">
        <is>
          <t>EMP008</t>
        </is>
      </c>
      <c r="C201" s="18" t="inlineStr">
        <is>
          <t>Ngô Thị Bích Ngọc</t>
        </is>
      </c>
      <c r="D201" s="18" t="inlineStr">
        <is>
          <t>Giám Đốc Chi Nhánh TP.HCM (Southern Regional Dir.)</t>
        </is>
      </c>
      <c r="E201" s="17" t="inlineStr">
        <is>
          <t>Khối Chi Nhánh</t>
        </is>
      </c>
      <c r="F201" s="13" t="n">
        <v>90000000</v>
      </c>
      <c r="G201" s="13" t="n">
        <v>15000000</v>
      </c>
      <c r="H201" s="20" t="n">
        <v>103.1</v>
      </c>
      <c r="I201" s="13" t="n">
        <v>15592500</v>
      </c>
      <c r="J201" s="13" t="n">
        <v>53742842</v>
      </c>
      <c r="K201" s="13" t="n">
        <v>9038533</v>
      </c>
      <c r="L201" s="13" t="n">
        <v>183373875</v>
      </c>
      <c r="M201" s="13" t="n">
        <v>5346000</v>
      </c>
      <c r="N201" s="13" t="n">
        <v>160627875</v>
      </c>
      <c r="O201" s="13" t="n">
        <v>46369756</v>
      </c>
      <c r="P201" s="13" t="n">
        <v>131658119</v>
      </c>
      <c r="Q201" s="13" t="n">
        <v>10494000</v>
      </c>
      <c r="R201" s="13" t="n">
        <v>3000000</v>
      </c>
      <c r="S201" s="13" t="n">
        <v>196867875</v>
      </c>
      <c r="T201" s="13" t="n">
        <v>3294439387</v>
      </c>
    </row>
    <row r="202">
      <c r="A202" s="17" t="inlineStr">
        <is>
          <t>2026-02</t>
        </is>
      </c>
      <c r="B202" s="17" t="inlineStr">
        <is>
          <t>EMP009</t>
        </is>
      </c>
      <c r="C202" s="18" t="inlineStr">
        <is>
          <t>Trịnh Minh Trí</t>
        </is>
      </c>
      <c r="D202" s="18" t="inlineStr">
        <is>
          <t>Trưởng Ban Đối Ngoại &amp; Lãnh Sự (Head of Consular)</t>
        </is>
      </c>
      <c r="E202" s="17" t="inlineStr">
        <is>
          <t>Đối Ngoại Lãnh Sự</t>
        </is>
      </c>
      <c r="F202" s="10" t="n">
        <v>70000000</v>
      </c>
      <c r="G202" s="10" t="n">
        <v>15000000</v>
      </c>
      <c r="H202" s="19" t="n">
        <v>103.1</v>
      </c>
      <c r="I202" s="10" t="n">
        <v>12127500</v>
      </c>
      <c r="J202" s="10" t="n">
        <v>26034520</v>
      </c>
      <c r="K202" s="10" t="n">
        <v>6122634</v>
      </c>
      <c r="L202" s="10" t="n">
        <v>129284654</v>
      </c>
      <c r="M202" s="10" t="n">
        <v>5146000</v>
      </c>
      <c r="N202" s="10" t="n">
        <v>106738654</v>
      </c>
      <c r="O202" s="10" t="n">
        <v>27508529</v>
      </c>
      <c r="P202" s="10" t="n">
        <v>96630125</v>
      </c>
      <c r="Q202" s="10" t="n">
        <v>10294000</v>
      </c>
      <c r="R202" s="10" t="n">
        <v>3000000</v>
      </c>
      <c r="S202" s="10" t="n">
        <v>142578654</v>
      </c>
      <c r="T202" s="10" t="n">
        <v>0</v>
      </c>
    </row>
    <row r="203">
      <c r="A203" s="17" t="inlineStr">
        <is>
          <t>2026-02</t>
        </is>
      </c>
      <c r="B203" s="17" t="inlineStr">
        <is>
          <t>EMP010</t>
        </is>
      </c>
      <c r="C203" s="18" t="inlineStr">
        <is>
          <t>Bùi Thanh Mai</t>
        </is>
      </c>
      <c r="D203" s="18" t="inlineStr">
        <is>
          <t>Trưởng Ban An Cư (Head of Settlement Operations)</t>
        </is>
      </c>
      <c r="E203" s="17" t="inlineStr">
        <is>
          <t>Vận Hành An Cư</t>
        </is>
      </c>
      <c r="F203" s="13" t="n">
        <v>65000000</v>
      </c>
      <c r="G203" s="13" t="n">
        <v>10000000</v>
      </c>
      <c r="H203" s="20" t="n">
        <v>89.09999999999999</v>
      </c>
      <c r="I203" s="13" t="n">
        <v>4436250</v>
      </c>
      <c r="J203" s="13" t="n">
        <v>7756765</v>
      </c>
      <c r="K203" s="13" t="n">
        <v>0</v>
      </c>
      <c r="L203" s="13" t="n">
        <v>87193015</v>
      </c>
      <c r="M203" s="13" t="n">
        <v>5096000</v>
      </c>
      <c r="N203" s="13" t="n">
        <v>64697015</v>
      </c>
      <c r="O203" s="13" t="n">
        <v>13559104</v>
      </c>
      <c r="P203" s="13" t="n">
        <v>68537911</v>
      </c>
      <c r="Q203" s="13" t="n">
        <v>10244000</v>
      </c>
      <c r="R203" s="13" t="n">
        <v>3000000</v>
      </c>
      <c r="S203" s="13" t="n">
        <v>100437015</v>
      </c>
      <c r="T203" s="13" t="n">
        <v>0</v>
      </c>
    </row>
    <row r="204">
      <c r="A204" s="17" t="inlineStr">
        <is>
          <t>2026-02</t>
        </is>
      </c>
      <c r="B204" s="17" t="inlineStr">
        <is>
          <t>EMP011</t>
        </is>
      </c>
      <c r="C204" s="18" t="inlineStr">
        <is>
          <t>Đặng Văn Lâm</t>
        </is>
      </c>
      <c r="D204" s="18" t="inlineStr">
        <is>
          <t>Giám Đốc Tài Chính Quốc Tế (CFO)</t>
        </is>
      </c>
      <c r="E204" s="17" t="inlineStr">
        <is>
          <t>Tài Chính &amp; Kế Toán</t>
        </is>
      </c>
      <c r="F204" s="10" t="n">
        <v>90000000</v>
      </c>
      <c r="G204" s="10" t="n">
        <v>12000000</v>
      </c>
      <c r="H204" s="19" t="n">
        <v>110.8</v>
      </c>
      <c r="I204" s="10" t="n">
        <v>20790000</v>
      </c>
      <c r="J204" s="10" t="n">
        <v>18417324</v>
      </c>
      <c r="K204" s="10" t="n">
        <v>0</v>
      </c>
      <c r="L204" s="10" t="n">
        <v>141207324</v>
      </c>
      <c r="M204" s="10" t="n">
        <v>5346000</v>
      </c>
      <c r="N204" s="10" t="n">
        <v>114061324</v>
      </c>
      <c r="O204" s="10" t="n">
        <v>30071463</v>
      </c>
      <c r="P204" s="10" t="n">
        <v>105789861</v>
      </c>
      <c r="Q204" s="10" t="n">
        <v>10494000</v>
      </c>
      <c r="R204" s="10" t="n">
        <v>3000000</v>
      </c>
      <c r="S204" s="10" t="n">
        <v>154701324</v>
      </c>
      <c r="T204" s="10" t="n">
        <v>0</v>
      </c>
    </row>
    <row r="205">
      <c r="A205" s="17" t="inlineStr">
        <is>
          <t>2026-02</t>
        </is>
      </c>
      <c r="B205" s="17" t="inlineStr">
        <is>
          <t>EMP012</t>
        </is>
      </c>
      <c r="C205" s="18" t="inlineStr">
        <is>
          <t>Võ Quỳnh Trang</t>
        </is>
      </c>
      <c r="D205" s="18" t="inlineStr">
        <is>
          <t>Giám Đốc Nhân Sự &amp; Tuân Thủ (HR &amp; Compliance Dir.)</t>
        </is>
      </c>
      <c r="E205" s="17" t="inlineStr">
        <is>
          <t>Nhân Sự &amp; Quản Trị</t>
        </is>
      </c>
      <c r="F205" s="13" t="n">
        <v>65000000</v>
      </c>
      <c r="G205" s="13" t="n">
        <v>10000000</v>
      </c>
      <c r="H205" s="20" t="n">
        <v>98.90000000000001</v>
      </c>
      <c r="I205" s="13" t="n">
        <v>9213750</v>
      </c>
      <c r="J205" s="13" t="n">
        <v>10843207</v>
      </c>
      <c r="K205" s="13" t="n">
        <v>0</v>
      </c>
      <c r="L205" s="13" t="n">
        <v>95056957</v>
      </c>
      <c r="M205" s="13" t="n">
        <v>5096000</v>
      </c>
      <c r="N205" s="13" t="n">
        <v>72560957</v>
      </c>
      <c r="O205" s="13" t="n">
        <v>15918287</v>
      </c>
      <c r="P205" s="13" t="n">
        <v>74042670</v>
      </c>
      <c r="Q205" s="13" t="n">
        <v>10244000</v>
      </c>
      <c r="R205" s="13" t="n">
        <v>3000000</v>
      </c>
      <c r="S205" s="13" t="n">
        <v>108300957</v>
      </c>
      <c r="T205" s="13" t="n">
        <v>0</v>
      </c>
    </row>
    <row r="206">
      <c r="A206" s="17" t="inlineStr">
        <is>
          <t>2026-03</t>
        </is>
      </c>
      <c r="B206" s="17" t="inlineStr">
        <is>
          <t>EMP001</t>
        </is>
      </c>
      <c r="C206" s="18" t="inlineStr">
        <is>
          <t>Nguyễn Quốc Hùng</t>
        </is>
      </c>
      <c r="D206" s="18" t="inlineStr">
        <is>
          <t>Tổng Giám Đốc (Managing Director / CEO)</t>
        </is>
      </c>
      <c r="E206" s="17" t="inlineStr">
        <is>
          <t>Điều Hành Chung</t>
        </is>
      </c>
      <c r="F206" s="10" t="n">
        <v>130000000</v>
      </c>
      <c r="G206" s="10" t="n">
        <v>25000000</v>
      </c>
      <c r="H206" s="19" t="n">
        <v>92.5</v>
      </c>
      <c r="I206" s="10" t="n">
        <v>12187500</v>
      </c>
      <c r="J206" s="10" t="n">
        <v>62080281</v>
      </c>
      <c r="K206" s="10" t="n">
        <v>0</v>
      </c>
      <c r="L206" s="10" t="n">
        <v>229267781</v>
      </c>
      <c r="M206" s="10" t="n">
        <v>5438000</v>
      </c>
      <c r="N206" s="10" t="n">
        <v>202029781</v>
      </c>
      <c r="O206" s="10" t="n">
        <v>60860423</v>
      </c>
      <c r="P206" s="10" t="n">
        <v>162969358</v>
      </c>
      <c r="Q206" s="10" t="n">
        <v>10586000</v>
      </c>
      <c r="R206" s="10" t="n">
        <v>3000000</v>
      </c>
      <c r="S206" s="10" t="n">
        <v>242853781</v>
      </c>
      <c r="T206" s="10" t="n">
        <v>7760035109</v>
      </c>
    </row>
    <row r="207">
      <c r="A207" s="17" t="inlineStr">
        <is>
          <t>2026-03</t>
        </is>
      </c>
      <c r="B207" s="17" t="inlineStr">
        <is>
          <t>EMP002</t>
        </is>
      </c>
      <c r="C207" s="18" t="inlineStr">
        <is>
          <t>Trần Minh Tuấn</t>
        </is>
      </c>
      <c r="D207" s="18" t="inlineStr">
        <is>
          <t>Phó TGĐ Kinh Doanh (Deputy CEO &amp; Head of BD)</t>
        </is>
      </c>
      <c r="E207" s="17" t="inlineStr">
        <is>
          <t>Thương Mại &amp; BD</t>
        </is>
      </c>
      <c r="F207" s="13" t="n">
        <v>105000000</v>
      </c>
      <c r="G207" s="13" t="n">
        <v>20000000</v>
      </c>
      <c r="H207" s="20" t="n">
        <v>99.09999999999999</v>
      </c>
      <c r="I207" s="13" t="n">
        <v>15041250</v>
      </c>
      <c r="J207" s="13" t="n">
        <v>69580747</v>
      </c>
      <c r="K207" s="13" t="n">
        <v>13049759</v>
      </c>
      <c r="L207" s="13" t="n">
        <v>222671756</v>
      </c>
      <c r="M207" s="13" t="n">
        <v>5438000</v>
      </c>
      <c r="N207" s="13" t="n">
        <v>195433756</v>
      </c>
      <c r="O207" s="13" t="n">
        <v>58551815</v>
      </c>
      <c r="P207" s="13" t="n">
        <v>158681941</v>
      </c>
      <c r="Q207" s="13" t="n">
        <v>10586000</v>
      </c>
      <c r="R207" s="13" t="n">
        <v>3000000</v>
      </c>
      <c r="S207" s="13" t="n">
        <v>236257756</v>
      </c>
      <c r="T207" s="13" t="n">
        <v>5044022821</v>
      </c>
    </row>
    <row r="208">
      <c r="A208" s="17" t="inlineStr">
        <is>
          <t>2026-03</t>
        </is>
      </c>
      <c r="B208" s="17" t="inlineStr">
        <is>
          <t>EMP003</t>
        </is>
      </c>
      <c r="C208" s="18" t="inlineStr">
        <is>
          <t>LS. Lê Hoàng Nam</t>
        </is>
      </c>
      <c r="D208" s="18" t="inlineStr">
        <is>
          <t>Giám Đốc Pháp Lý &amp; Thụ Lý Hồ Sơ (Legal Director)</t>
        </is>
      </c>
      <c r="E208" s="17" t="inlineStr">
        <is>
          <t>Pháp Lý Di Trú</t>
        </is>
      </c>
      <c r="F208" s="10" t="n">
        <v>95000000</v>
      </c>
      <c r="G208" s="10" t="n">
        <v>15000000</v>
      </c>
      <c r="H208" s="19" t="n">
        <v>89.90000000000001</v>
      </c>
      <c r="I208" s="10" t="n">
        <v>7053750</v>
      </c>
      <c r="J208" s="10" t="n">
        <v>40234125</v>
      </c>
      <c r="K208" s="10" t="n">
        <v>9975311</v>
      </c>
      <c r="L208" s="10" t="n">
        <v>167263186</v>
      </c>
      <c r="M208" s="10" t="n">
        <v>5396000</v>
      </c>
      <c r="N208" s="10" t="n">
        <v>144467186</v>
      </c>
      <c r="O208" s="10" t="n">
        <v>40713515</v>
      </c>
      <c r="P208" s="10" t="n">
        <v>121153671</v>
      </c>
      <c r="Q208" s="10" t="n">
        <v>10544000</v>
      </c>
      <c r="R208" s="10" t="n">
        <v>3000000</v>
      </c>
      <c r="S208" s="10" t="n">
        <v>180807186</v>
      </c>
      <c r="T208" s="10" t="n">
        <v>0</v>
      </c>
    </row>
    <row r="209">
      <c r="A209" s="17" t="inlineStr">
        <is>
          <t>2026-03</t>
        </is>
      </c>
      <c r="B209" s="17" t="inlineStr">
        <is>
          <t>EMP004</t>
        </is>
      </c>
      <c r="C209" s="18" t="inlineStr">
        <is>
          <t>Phạm Thanh Hà</t>
        </is>
      </c>
      <c r="D209" s="18" t="inlineStr">
        <is>
          <t>Giám Đốc Thẩm Định Đầu Tư (Investment DD Director)</t>
        </is>
      </c>
      <c r="E209" s="17" t="inlineStr">
        <is>
          <t>Đầu Tư &amp; Thẩm Định</t>
        </is>
      </c>
      <c r="F209" s="13" t="n">
        <v>90000000</v>
      </c>
      <c r="G209" s="13" t="n">
        <v>15000000</v>
      </c>
      <c r="H209" s="20" t="n">
        <v>104.8</v>
      </c>
      <c r="I209" s="13" t="n">
        <v>16740000</v>
      </c>
      <c r="J209" s="13" t="n">
        <v>24413638</v>
      </c>
      <c r="K209" s="13" t="n">
        <v>0</v>
      </c>
      <c r="L209" s="13" t="n">
        <v>146153638</v>
      </c>
      <c r="M209" s="13" t="n">
        <v>5346000</v>
      </c>
      <c r="N209" s="13" t="n">
        <v>123407638</v>
      </c>
      <c r="O209" s="13" t="n">
        <v>33342673</v>
      </c>
      <c r="P209" s="13" t="n">
        <v>107464965</v>
      </c>
      <c r="Q209" s="13" t="n">
        <v>10494000</v>
      </c>
      <c r="R209" s="13" t="n">
        <v>3000000</v>
      </c>
      <c r="S209" s="13" t="n">
        <v>159647638</v>
      </c>
      <c r="T209" s="13" t="n">
        <v>0</v>
      </c>
    </row>
    <row r="210">
      <c r="A210" s="17" t="inlineStr">
        <is>
          <t>2026-03</t>
        </is>
      </c>
      <c r="B210" s="17" t="inlineStr">
        <is>
          <t>EMP005</t>
        </is>
      </c>
      <c r="C210" s="18" t="inlineStr">
        <is>
          <t>Vũ Hải Đăng</t>
        </is>
      </c>
      <c r="D210" s="18" t="inlineStr">
        <is>
          <t>Giám Đốc Khách Hàng VIP (Private Clients Director)</t>
        </is>
      </c>
      <c r="E210" s="17" t="inlineStr">
        <is>
          <t>Thương Mại &amp; BD</t>
        </is>
      </c>
      <c r="F210" s="10" t="n">
        <v>85000000</v>
      </c>
      <c r="G210" s="10" t="n">
        <v>20000000</v>
      </c>
      <c r="H210" s="19" t="n">
        <v>95.40000000000001</v>
      </c>
      <c r="I210" s="10" t="n">
        <v>9817500</v>
      </c>
      <c r="J210" s="10" t="n">
        <v>62752265</v>
      </c>
      <c r="K210" s="10" t="n">
        <v>12720491</v>
      </c>
      <c r="L210" s="10" t="n">
        <v>190290256</v>
      </c>
      <c r="M210" s="10" t="n">
        <v>5296000</v>
      </c>
      <c r="N210" s="10" t="n">
        <v>167594256</v>
      </c>
      <c r="O210" s="10" t="n">
        <v>48807990</v>
      </c>
      <c r="P210" s="10" t="n">
        <v>136186266</v>
      </c>
      <c r="Q210" s="10" t="n">
        <v>10444000</v>
      </c>
      <c r="R210" s="10" t="n">
        <v>3000000</v>
      </c>
      <c r="S210" s="10" t="n">
        <v>203734256</v>
      </c>
      <c r="T210" s="10" t="n">
        <v>2716012288</v>
      </c>
    </row>
    <row r="211">
      <c r="A211" s="17" t="inlineStr">
        <is>
          <t>2026-03</t>
        </is>
      </c>
      <c r="B211" s="17" t="inlineStr">
        <is>
          <t>EMP006</t>
        </is>
      </c>
      <c r="C211" s="18" t="inlineStr">
        <is>
          <t>Đỗ Phương Thảo</t>
        </is>
      </c>
      <c r="D211" s="18" t="inlineStr">
        <is>
          <t>Giám Đốc Marketing &amp; Thương Hiệu (CMO)</t>
        </is>
      </c>
      <c r="E211" s="17" t="inlineStr">
        <is>
          <t>Tiếp Thị &amp; Brand</t>
        </is>
      </c>
      <c r="F211" s="13" t="n">
        <v>80000000</v>
      </c>
      <c r="G211" s="13" t="n">
        <v>12000000</v>
      </c>
      <c r="H211" s="20" t="n">
        <v>91.90000000000001</v>
      </c>
      <c r="I211" s="13" t="n">
        <v>7140000</v>
      </c>
      <c r="J211" s="13" t="n">
        <v>16602384</v>
      </c>
      <c r="K211" s="13" t="n">
        <v>0</v>
      </c>
      <c r="L211" s="13" t="n">
        <v>115742384</v>
      </c>
      <c r="M211" s="13" t="n">
        <v>5246000</v>
      </c>
      <c r="N211" s="13" t="n">
        <v>97496384</v>
      </c>
      <c r="O211" s="13" t="n">
        <v>24273734</v>
      </c>
      <c r="P211" s="13" t="n">
        <v>86222650</v>
      </c>
      <c r="Q211" s="13" t="n">
        <v>10394000</v>
      </c>
      <c r="R211" s="13" t="n">
        <v>3000000</v>
      </c>
      <c r="S211" s="13" t="n">
        <v>129136384</v>
      </c>
      <c r="T211" s="13" t="n">
        <v>0</v>
      </c>
    </row>
    <row r="212">
      <c r="A212" s="17" t="inlineStr">
        <is>
          <t>2026-03</t>
        </is>
      </c>
      <c r="B212" s="17" t="inlineStr">
        <is>
          <t>EMP007</t>
        </is>
      </c>
      <c r="C212" s="18" t="inlineStr">
        <is>
          <t>Hoàng Gia Bách</t>
        </is>
      </c>
      <c r="D212" s="18" t="inlineStr">
        <is>
          <t>Giám Đốc Chi Nhánh Hà Nội (Northern Regional Dir.)</t>
        </is>
      </c>
      <c r="E212" s="17" t="inlineStr">
        <is>
          <t>Khối Chi Nhánh</t>
        </is>
      </c>
      <c r="F212" s="10" t="n">
        <v>85000000</v>
      </c>
      <c r="G212" s="10" t="n">
        <v>15000000</v>
      </c>
      <c r="H212" s="19" t="n">
        <v>107.7</v>
      </c>
      <c r="I212" s="10" t="n">
        <v>17658750</v>
      </c>
      <c r="J212" s="10" t="n">
        <v>49232160</v>
      </c>
      <c r="K212" s="10" t="n">
        <v>10282527</v>
      </c>
      <c r="L212" s="10" t="n">
        <v>177173437</v>
      </c>
      <c r="M212" s="10" t="n">
        <v>5296000</v>
      </c>
      <c r="N212" s="10" t="n">
        <v>150077437</v>
      </c>
      <c r="O212" s="10" t="n">
        <v>42677103</v>
      </c>
      <c r="P212" s="10" t="n">
        <v>129200334</v>
      </c>
      <c r="Q212" s="10" t="n">
        <v>10444000</v>
      </c>
      <c r="R212" s="10" t="n">
        <v>3000000</v>
      </c>
      <c r="S212" s="10" t="n">
        <v>190617437</v>
      </c>
      <c r="T212" s="10" t="n">
        <v>2948813341</v>
      </c>
    </row>
    <row r="213">
      <c r="A213" s="17" t="inlineStr">
        <is>
          <t>2026-03</t>
        </is>
      </c>
      <c r="B213" s="17" t="inlineStr">
        <is>
          <t>EMP008</t>
        </is>
      </c>
      <c r="C213" s="18" t="inlineStr">
        <is>
          <t>Ngô Thị Bích Ngọc</t>
        </is>
      </c>
      <c r="D213" s="18" t="inlineStr">
        <is>
          <t>Giám Đốc Chi Nhánh TP.HCM (Southern Regional Dir.)</t>
        </is>
      </c>
      <c r="E213" s="17" t="inlineStr">
        <is>
          <t>Khối Chi Nhánh</t>
        </is>
      </c>
      <c r="F213" s="13" t="n">
        <v>90000000</v>
      </c>
      <c r="G213" s="13" t="n">
        <v>15000000</v>
      </c>
      <c r="H213" s="20" t="n">
        <v>102.7</v>
      </c>
      <c r="I213" s="13" t="n">
        <v>15322500</v>
      </c>
      <c r="J213" s="13" t="n">
        <v>59109822</v>
      </c>
      <c r="K213" s="13" t="n">
        <v>14180994</v>
      </c>
      <c r="L213" s="13" t="n">
        <v>193613316</v>
      </c>
      <c r="M213" s="13" t="n">
        <v>5346000</v>
      </c>
      <c r="N213" s="13" t="n">
        <v>170867316</v>
      </c>
      <c r="O213" s="13" t="n">
        <v>49953561</v>
      </c>
      <c r="P213" s="13" t="n">
        <v>138313755</v>
      </c>
      <c r="Q213" s="13" t="n">
        <v>10494000</v>
      </c>
      <c r="R213" s="13" t="n">
        <v>3000000</v>
      </c>
      <c r="S213" s="13" t="n">
        <v>207107316</v>
      </c>
      <c r="T213" s="13" t="n">
        <v>3724816852</v>
      </c>
    </row>
    <row r="214">
      <c r="A214" s="17" t="inlineStr">
        <is>
          <t>2026-03</t>
        </is>
      </c>
      <c r="B214" s="17" t="inlineStr">
        <is>
          <t>EMP009</t>
        </is>
      </c>
      <c r="C214" s="18" t="inlineStr">
        <is>
          <t>Trịnh Minh Trí</t>
        </is>
      </c>
      <c r="D214" s="18" t="inlineStr">
        <is>
          <t>Trưởng Ban Đối Ngoại &amp; Lãnh Sự (Head of Consular)</t>
        </is>
      </c>
      <c r="E214" s="17" t="inlineStr">
        <is>
          <t>Đối Ngoại Lãnh Sự</t>
        </is>
      </c>
      <c r="F214" s="10" t="n">
        <v>70000000</v>
      </c>
      <c r="G214" s="10" t="n">
        <v>15000000</v>
      </c>
      <c r="H214" s="19" t="n">
        <v>108.8</v>
      </c>
      <c r="I214" s="10" t="n">
        <v>15120000</v>
      </c>
      <c r="J214" s="10" t="n">
        <v>19699333</v>
      </c>
      <c r="K214" s="10" t="n">
        <v>2047845</v>
      </c>
      <c r="L214" s="10" t="n">
        <v>121867178</v>
      </c>
      <c r="M214" s="10" t="n">
        <v>5146000</v>
      </c>
      <c r="N214" s="10" t="n">
        <v>99321178</v>
      </c>
      <c r="O214" s="10" t="n">
        <v>24912412</v>
      </c>
      <c r="P214" s="10" t="n">
        <v>91808766</v>
      </c>
      <c r="Q214" s="10" t="n">
        <v>10294000</v>
      </c>
      <c r="R214" s="10" t="n">
        <v>3000000</v>
      </c>
      <c r="S214" s="10" t="n">
        <v>135161178</v>
      </c>
      <c r="T214" s="10" t="n">
        <v>0</v>
      </c>
    </row>
    <row r="215">
      <c r="A215" s="17" t="inlineStr">
        <is>
          <t>2026-03</t>
        </is>
      </c>
      <c r="B215" s="17" t="inlineStr">
        <is>
          <t>EMP010</t>
        </is>
      </c>
      <c r="C215" s="18" t="inlineStr">
        <is>
          <t>Bùi Thanh Mai</t>
        </is>
      </c>
      <c r="D215" s="18" t="inlineStr">
        <is>
          <t>Trưởng Ban An Cư (Head of Settlement Operations)</t>
        </is>
      </c>
      <c r="E215" s="17" t="inlineStr">
        <is>
          <t>Vận Hành An Cư</t>
        </is>
      </c>
      <c r="F215" s="13" t="n">
        <v>65000000</v>
      </c>
      <c r="G215" s="13" t="n">
        <v>10000000</v>
      </c>
      <c r="H215" s="20" t="n">
        <v>97</v>
      </c>
      <c r="I215" s="13" t="n">
        <v>8287500</v>
      </c>
      <c r="J215" s="13" t="n">
        <v>12576035</v>
      </c>
      <c r="K215" s="13" t="n">
        <v>0</v>
      </c>
      <c r="L215" s="13" t="n">
        <v>95863535</v>
      </c>
      <c r="M215" s="13" t="n">
        <v>5096000</v>
      </c>
      <c r="N215" s="13" t="n">
        <v>73367535</v>
      </c>
      <c r="O215" s="13" t="n">
        <v>16160260</v>
      </c>
      <c r="P215" s="13" t="n">
        <v>74607275</v>
      </c>
      <c r="Q215" s="13" t="n">
        <v>10244000</v>
      </c>
      <c r="R215" s="13" t="n">
        <v>3000000</v>
      </c>
      <c r="S215" s="13" t="n">
        <v>109107535</v>
      </c>
      <c r="T215" s="13" t="n">
        <v>0</v>
      </c>
    </row>
    <row r="216">
      <c r="A216" s="17" t="inlineStr">
        <is>
          <t>2026-03</t>
        </is>
      </c>
      <c r="B216" s="17" t="inlineStr">
        <is>
          <t>EMP011</t>
        </is>
      </c>
      <c r="C216" s="18" t="inlineStr">
        <is>
          <t>Đặng Văn Lâm</t>
        </is>
      </c>
      <c r="D216" s="18" t="inlineStr">
        <is>
          <t>Giám Đốc Tài Chính Quốc Tế (CFO)</t>
        </is>
      </c>
      <c r="E216" s="17" t="inlineStr">
        <is>
          <t>Tài Chính &amp; Kế Toán</t>
        </is>
      </c>
      <c r="F216" s="10" t="n">
        <v>90000000</v>
      </c>
      <c r="G216" s="10" t="n">
        <v>12000000</v>
      </c>
      <c r="H216" s="19" t="n">
        <v>111.7</v>
      </c>
      <c r="I216" s="10" t="n">
        <v>21397500</v>
      </c>
      <c r="J216" s="10" t="n">
        <v>9095253</v>
      </c>
      <c r="K216" s="10" t="n">
        <v>0</v>
      </c>
      <c r="L216" s="10" t="n">
        <v>132492753</v>
      </c>
      <c r="M216" s="10" t="n">
        <v>5346000</v>
      </c>
      <c r="N216" s="10" t="n">
        <v>105346753</v>
      </c>
      <c r="O216" s="10" t="n">
        <v>27021364</v>
      </c>
      <c r="P216" s="10" t="n">
        <v>100125389</v>
      </c>
      <c r="Q216" s="10" t="n">
        <v>10494000</v>
      </c>
      <c r="R216" s="10" t="n">
        <v>3000000</v>
      </c>
      <c r="S216" s="10" t="n">
        <v>145986753</v>
      </c>
      <c r="T216" s="10" t="n">
        <v>0</v>
      </c>
    </row>
    <row r="217">
      <c r="A217" s="17" t="inlineStr">
        <is>
          <t>2026-03</t>
        </is>
      </c>
      <c r="B217" s="17" t="inlineStr">
        <is>
          <t>EMP012</t>
        </is>
      </c>
      <c r="C217" s="18" t="inlineStr">
        <is>
          <t>Võ Quỳnh Trang</t>
        </is>
      </c>
      <c r="D217" s="18" t="inlineStr">
        <is>
          <t>Giám Đốc Nhân Sự &amp; Tuân Thủ (HR &amp; Compliance Dir.)</t>
        </is>
      </c>
      <c r="E217" s="17" t="inlineStr">
        <is>
          <t>Nhân Sự &amp; Quản Trị</t>
        </is>
      </c>
      <c r="F217" s="13" t="n">
        <v>65000000</v>
      </c>
      <c r="G217" s="13" t="n">
        <v>10000000</v>
      </c>
      <c r="H217" s="20" t="n">
        <v>102.3</v>
      </c>
      <c r="I217" s="13" t="n">
        <v>10871250</v>
      </c>
      <c r="J217" s="13" t="n">
        <v>8666107</v>
      </c>
      <c r="K217" s="13" t="n">
        <v>0</v>
      </c>
      <c r="L217" s="13" t="n">
        <v>94537357</v>
      </c>
      <c r="M217" s="13" t="n">
        <v>5096000</v>
      </c>
      <c r="N217" s="13" t="n">
        <v>72041357</v>
      </c>
      <c r="O217" s="13" t="n">
        <v>15762407</v>
      </c>
      <c r="P217" s="13" t="n">
        <v>73678950</v>
      </c>
      <c r="Q217" s="13" t="n">
        <v>10244000</v>
      </c>
      <c r="R217" s="13" t="n">
        <v>3000000</v>
      </c>
      <c r="S217" s="13" t="n">
        <v>107781357</v>
      </c>
      <c r="T217" s="13" t="n">
        <v>0</v>
      </c>
    </row>
    <row r="218">
      <c r="A218" s="17" t="inlineStr">
        <is>
          <t>2026-04</t>
        </is>
      </c>
      <c r="B218" s="17" t="inlineStr">
        <is>
          <t>EMP001</t>
        </is>
      </c>
      <c r="C218" s="18" t="inlineStr">
        <is>
          <t>Nguyễn Quốc Hùng</t>
        </is>
      </c>
      <c r="D218" s="18" t="inlineStr">
        <is>
          <t>Tổng Giám Đốc (Managing Director / CEO)</t>
        </is>
      </c>
      <c r="E218" s="17" t="inlineStr">
        <is>
          <t>Điều Hành Chung</t>
        </is>
      </c>
      <c r="F218" s="10" t="n">
        <v>130000000</v>
      </c>
      <c r="G218" s="10" t="n">
        <v>25000000</v>
      </c>
      <c r="H218" s="19" t="n">
        <v>108.2</v>
      </c>
      <c r="I218" s="10" t="n">
        <v>27495000</v>
      </c>
      <c r="J218" s="10" t="n">
        <v>79236979</v>
      </c>
      <c r="K218" s="10" t="n">
        <v>0</v>
      </c>
      <c r="L218" s="10" t="n">
        <v>261731979</v>
      </c>
      <c r="M218" s="10" t="n">
        <v>5438000</v>
      </c>
      <c r="N218" s="10" t="n">
        <v>234493979</v>
      </c>
      <c r="O218" s="10" t="n">
        <v>72222893</v>
      </c>
      <c r="P218" s="10" t="n">
        <v>184071086</v>
      </c>
      <c r="Q218" s="10" t="n">
        <v>10586000</v>
      </c>
      <c r="R218" s="10" t="n">
        <v>3000000</v>
      </c>
      <c r="S218" s="10" t="n">
        <v>275317979</v>
      </c>
      <c r="T218" s="10" t="n">
        <v>9904622323</v>
      </c>
    </row>
    <row r="219">
      <c r="A219" s="17" t="inlineStr">
        <is>
          <t>2026-04</t>
        </is>
      </c>
      <c r="B219" s="17" t="inlineStr">
        <is>
          <t>EMP002</t>
        </is>
      </c>
      <c r="C219" s="18" t="inlineStr">
        <is>
          <t>Trần Minh Tuấn</t>
        </is>
      </c>
      <c r="D219" s="18" t="inlineStr">
        <is>
          <t>Phó TGĐ Kinh Doanh (Deputy CEO &amp; Head of BD)</t>
        </is>
      </c>
      <c r="E219" s="17" t="inlineStr">
        <is>
          <t>Thương Mại &amp; BD</t>
        </is>
      </c>
      <c r="F219" s="13" t="n">
        <v>105000000</v>
      </c>
      <c r="G219" s="13" t="n">
        <v>20000000</v>
      </c>
      <c r="H219" s="20" t="n">
        <v>108.1</v>
      </c>
      <c r="I219" s="13" t="n">
        <v>22128750</v>
      </c>
      <c r="J219" s="13" t="n">
        <v>89849888</v>
      </c>
      <c r="K219" s="13" t="n">
        <v>48984975</v>
      </c>
      <c r="L219" s="13" t="n">
        <v>285963613</v>
      </c>
      <c r="M219" s="13" t="n">
        <v>5438000</v>
      </c>
      <c r="N219" s="13" t="n">
        <v>258725613</v>
      </c>
      <c r="O219" s="13" t="n">
        <v>80703965</v>
      </c>
      <c r="P219" s="13" t="n">
        <v>199821648</v>
      </c>
      <c r="Q219" s="13" t="n">
        <v>10586000</v>
      </c>
      <c r="R219" s="13" t="n">
        <v>3000000</v>
      </c>
      <c r="S219" s="13" t="n">
        <v>299549613</v>
      </c>
      <c r="T219" s="13" t="n">
        <v>6438004510</v>
      </c>
    </row>
    <row r="220">
      <c r="A220" s="17" t="inlineStr">
        <is>
          <t>2026-04</t>
        </is>
      </c>
      <c r="B220" s="17" t="inlineStr">
        <is>
          <t>EMP003</t>
        </is>
      </c>
      <c r="C220" s="18" t="inlineStr">
        <is>
          <t>LS. Lê Hoàng Nam</t>
        </is>
      </c>
      <c r="D220" s="18" t="inlineStr">
        <is>
          <t>Giám Đốc Pháp Lý &amp; Thụ Lý Hồ Sơ (Legal Director)</t>
        </is>
      </c>
      <c r="E220" s="17" t="inlineStr">
        <is>
          <t>Pháp Lý Di Trú</t>
        </is>
      </c>
      <c r="F220" s="10" t="n">
        <v>95000000</v>
      </c>
      <c r="G220" s="10" t="n">
        <v>15000000</v>
      </c>
      <c r="H220" s="19" t="n">
        <v>94.59999999999999</v>
      </c>
      <c r="I220" s="10" t="n">
        <v>10402500</v>
      </c>
      <c r="J220" s="10" t="n">
        <v>22292475</v>
      </c>
      <c r="K220" s="10" t="n">
        <v>15663871</v>
      </c>
      <c r="L220" s="10" t="n">
        <v>158358846</v>
      </c>
      <c r="M220" s="10" t="n">
        <v>5396000</v>
      </c>
      <c r="N220" s="10" t="n">
        <v>135562846</v>
      </c>
      <c r="O220" s="10" t="n">
        <v>37596996</v>
      </c>
      <c r="P220" s="10" t="n">
        <v>115365850</v>
      </c>
      <c r="Q220" s="10" t="n">
        <v>10544000</v>
      </c>
      <c r="R220" s="10" t="n">
        <v>3000000</v>
      </c>
      <c r="S220" s="10" t="n">
        <v>171902846</v>
      </c>
      <c r="T220" s="10" t="n">
        <v>0</v>
      </c>
    </row>
    <row r="221">
      <c r="A221" s="17" t="inlineStr">
        <is>
          <t>2026-04</t>
        </is>
      </c>
      <c r="B221" s="17" t="inlineStr">
        <is>
          <t>EMP004</t>
        </is>
      </c>
      <c r="C221" s="18" t="inlineStr">
        <is>
          <t>Phạm Thanh Hà</t>
        </is>
      </c>
      <c r="D221" s="18" t="inlineStr">
        <is>
          <t>Giám Đốc Thẩm Định Đầu Tư (Investment DD Director)</t>
        </is>
      </c>
      <c r="E221" s="17" t="inlineStr">
        <is>
          <t>Đầu Tư &amp; Thẩm Định</t>
        </is>
      </c>
      <c r="F221" s="13" t="n">
        <v>90000000</v>
      </c>
      <c r="G221" s="13" t="n">
        <v>15000000</v>
      </c>
      <c r="H221" s="20" t="n">
        <v>107.5</v>
      </c>
      <c r="I221" s="13" t="n">
        <v>18562500</v>
      </c>
      <c r="J221" s="13" t="n">
        <v>36094636</v>
      </c>
      <c r="K221" s="13" t="n">
        <v>0</v>
      </c>
      <c r="L221" s="13" t="n">
        <v>159657136</v>
      </c>
      <c r="M221" s="13" t="n">
        <v>5346000</v>
      </c>
      <c r="N221" s="13" t="n">
        <v>136911136</v>
      </c>
      <c r="O221" s="13" t="n">
        <v>38068898</v>
      </c>
      <c r="P221" s="13" t="n">
        <v>116242238</v>
      </c>
      <c r="Q221" s="13" t="n">
        <v>10494000</v>
      </c>
      <c r="R221" s="13" t="n">
        <v>3000000</v>
      </c>
      <c r="S221" s="13" t="n">
        <v>173151136</v>
      </c>
      <c r="T221" s="13" t="n">
        <v>0</v>
      </c>
    </row>
    <row r="222">
      <c r="A222" s="17" t="inlineStr">
        <is>
          <t>2026-04</t>
        </is>
      </c>
      <c r="B222" s="17" t="inlineStr">
        <is>
          <t>EMP005</t>
        </is>
      </c>
      <c r="C222" s="18" t="inlineStr">
        <is>
          <t>Vũ Hải Đăng</t>
        </is>
      </c>
      <c r="D222" s="18" t="inlineStr">
        <is>
          <t>Giám Đốc Khách Hàng VIP (Private Clients Director)</t>
        </is>
      </c>
      <c r="E222" s="17" t="inlineStr">
        <is>
          <t>Thương Mại &amp; BD</t>
        </is>
      </c>
      <c r="F222" s="10" t="n">
        <v>85000000</v>
      </c>
      <c r="G222" s="10" t="n">
        <v>20000000</v>
      </c>
      <c r="H222" s="19" t="n">
        <v>111.9</v>
      </c>
      <c r="I222" s="10" t="n">
        <v>20336250</v>
      </c>
      <c r="J222" s="10" t="n">
        <v>76941997</v>
      </c>
      <c r="K222" s="10" t="n">
        <v>51485398</v>
      </c>
      <c r="L222" s="10" t="n">
        <v>253763645</v>
      </c>
      <c r="M222" s="10" t="n">
        <v>5296000</v>
      </c>
      <c r="N222" s="10" t="n">
        <v>231067645</v>
      </c>
      <c r="O222" s="10" t="n">
        <v>71023676</v>
      </c>
      <c r="P222" s="10" t="n">
        <v>177443969</v>
      </c>
      <c r="Q222" s="10" t="n">
        <v>10444000</v>
      </c>
      <c r="R222" s="10" t="n">
        <v>3000000</v>
      </c>
      <c r="S222" s="10" t="n">
        <v>267207645</v>
      </c>
      <c r="T222" s="10" t="n">
        <v>3466617813</v>
      </c>
    </row>
    <row r="223">
      <c r="A223" s="17" t="inlineStr">
        <is>
          <t>2026-04</t>
        </is>
      </c>
      <c r="B223" s="17" t="inlineStr">
        <is>
          <t>EMP006</t>
        </is>
      </c>
      <c r="C223" s="18" t="inlineStr">
        <is>
          <t>Đỗ Phương Thảo</t>
        </is>
      </c>
      <c r="D223" s="18" t="inlineStr">
        <is>
          <t>Giám Đốc Marketing &amp; Thương Hiệu (CMO)</t>
        </is>
      </c>
      <c r="E223" s="17" t="inlineStr">
        <is>
          <t>Tiếp Thị &amp; Brand</t>
        </is>
      </c>
      <c r="F223" s="13" t="n">
        <v>80000000</v>
      </c>
      <c r="G223" s="13" t="n">
        <v>12000000</v>
      </c>
      <c r="H223" s="20" t="n">
        <v>110.7</v>
      </c>
      <c r="I223" s="13" t="n">
        <v>18420000</v>
      </c>
      <c r="J223" s="13" t="n">
        <v>15916051</v>
      </c>
      <c r="K223" s="13" t="n">
        <v>0</v>
      </c>
      <c r="L223" s="13" t="n">
        <v>126336051</v>
      </c>
      <c r="M223" s="13" t="n">
        <v>5246000</v>
      </c>
      <c r="N223" s="13" t="n">
        <v>108090051</v>
      </c>
      <c r="O223" s="13" t="n">
        <v>27981518</v>
      </c>
      <c r="P223" s="13" t="n">
        <v>93108533</v>
      </c>
      <c r="Q223" s="13" t="n">
        <v>10394000</v>
      </c>
      <c r="R223" s="13" t="n">
        <v>3000000</v>
      </c>
      <c r="S223" s="13" t="n">
        <v>139730051</v>
      </c>
      <c r="T223" s="13" t="n">
        <v>0</v>
      </c>
    </row>
    <row r="224">
      <c r="A224" s="17" t="inlineStr">
        <is>
          <t>2026-04</t>
        </is>
      </c>
      <c r="B224" s="17" t="inlineStr">
        <is>
          <t>EMP007</t>
        </is>
      </c>
      <c r="C224" s="18" t="inlineStr">
        <is>
          <t>Hoàng Gia Bách</t>
        </is>
      </c>
      <c r="D224" s="18" t="inlineStr">
        <is>
          <t>Giám Đốc Chi Nhánh Hà Nội (Northern Regional Dir.)</t>
        </is>
      </c>
      <c r="E224" s="17" t="inlineStr">
        <is>
          <t>Khối Chi Nhánh</t>
        </is>
      </c>
      <c r="F224" s="10" t="n">
        <v>85000000</v>
      </c>
      <c r="G224" s="10" t="n">
        <v>15000000</v>
      </c>
      <c r="H224" s="19" t="n">
        <v>93.90000000000001</v>
      </c>
      <c r="I224" s="10" t="n">
        <v>8861250</v>
      </c>
      <c r="J224" s="10" t="n">
        <v>58929631</v>
      </c>
      <c r="K224" s="10" t="n">
        <v>26235813</v>
      </c>
      <c r="L224" s="10" t="n">
        <v>194026694</v>
      </c>
      <c r="M224" s="10" t="n">
        <v>5296000</v>
      </c>
      <c r="N224" s="10" t="n">
        <v>166930694</v>
      </c>
      <c r="O224" s="10" t="n">
        <v>48575743</v>
      </c>
      <c r="P224" s="10" t="n">
        <v>140154951</v>
      </c>
      <c r="Q224" s="10" t="n">
        <v>10444000</v>
      </c>
      <c r="R224" s="10" t="n">
        <v>3000000</v>
      </c>
      <c r="S224" s="10" t="n">
        <v>207470694</v>
      </c>
      <c r="T224" s="10" t="n">
        <v>3763756483</v>
      </c>
    </row>
    <row r="225">
      <c r="A225" s="17" t="inlineStr">
        <is>
          <t>2026-04</t>
        </is>
      </c>
      <c r="B225" s="17" t="inlineStr">
        <is>
          <t>EMP008</t>
        </is>
      </c>
      <c r="C225" s="18" t="inlineStr">
        <is>
          <t>Ngô Thị Bích Ngọc</t>
        </is>
      </c>
      <c r="D225" s="18" t="inlineStr">
        <is>
          <t>Giám Đốc Chi Nhánh TP.HCM (Southern Regional Dir.)</t>
        </is>
      </c>
      <c r="E225" s="17" t="inlineStr">
        <is>
          <t>Khối Chi Nhánh</t>
        </is>
      </c>
      <c r="F225" s="13" t="n">
        <v>90000000</v>
      </c>
      <c r="G225" s="13" t="n">
        <v>15000000</v>
      </c>
      <c r="H225" s="20" t="n">
        <v>110.9</v>
      </c>
      <c r="I225" s="13" t="n">
        <v>20857500</v>
      </c>
      <c r="J225" s="13" t="n">
        <v>76875143</v>
      </c>
      <c r="K225" s="13" t="n">
        <v>36901989</v>
      </c>
      <c r="L225" s="13" t="n">
        <v>239634632</v>
      </c>
      <c r="M225" s="13" t="n">
        <v>5346000</v>
      </c>
      <c r="N225" s="13" t="n">
        <v>216888632</v>
      </c>
      <c r="O225" s="13" t="n">
        <v>66061021</v>
      </c>
      <c r="P225" s="13" t="n">
        <v>168227611</v>
      </c>
      <c r="Q225" s="13" t="n">
        <v>10494000</v>
      </c>
      <c r="R225" s="13" t="n">
        <v>3000000</v>
      </c>
      <c r="S225" s="13" t="n">
        <v>253128632</v>
      </c>
      <c r="T225" s="13" t="n">
        <v>4754218715</v>
      </c>
    </row>
    <row r="226">
      <c r="A226" s="17" t="inlineStr">
        <is>
          <t>2026-04</t>
        </is>
      </c>
      <c r="B226" s="17" t="inlineStr">
        <is>
          <t>EMP009</t>
        </is>
      </c>
      <c r="C226" s="18" t="inlineStr">
        <is>
          <t>Trịnh Minh Trí</t>
        </is>
      </c>
      <c r="D226" s="18" t="inlineStr">
        <is>
          <t>Trưởng Ban Đối Ngoại &amp; Lãnh Sự (Head of Consular)</t>
        </is>
      </c>
      <c r="E226" s="17" t="inlineStr">
        <is>
          <t>Đối Ngoại Lãnh Sự</t>
        </is>
      </c>
      <c r="F226" s="10" t="n">
        <v>70000000</v>
      </c>
      <c r="G226" s="10" t="n">
        <v>15000000</v>
      </c>
      <c r="H226" s="19" t="n">
        <v>104.1</v>
      </c>
      <c r="I226" s="10" t="n">
        <v>12652500</v>
      </c>
      <c r="J226" s="10" t="n">
        <v>36167768</v>
      </c>
      <c r="K226" s="10" t="n">
        <v>19000988</v>
      </c>
      <c r="L226" s="10" t="n">
        <v>152821256</v>
      </c>
      <c r="M226" s="10" t="n">
        <v>5146000</v>
      </c>
      <c r="N226" s="10" t="n">
        <v>130275256</v>
      </c>
      <c r="O226" s="10" t="n">
        <v>35746340</v>
      </c>
      <c r="P226" s="10" t="n">
        <v>111928916</v>
      </c>
      <c r="Q226" s="10" t="n">
        <v>10294000</v>
      </c>
      <c r="R226" s="10" t="n">
        <v>3000000</v>
      </c>
      <c r="S226" s="10" t="n">
        <v>166115256</v>
      </c>
      <c r="T226" s="10" t="n">
        <v>0</v>
      </c>
    </row>
    <row r="227">
      <c r="A227" s="17" t="inlineStr">
        <is>
          <t>2026-04</t>
        </is>
      </c>
      <c r="B227" s="17" t="inlineStr">
        <is>
          <t>EMP010</t>
        </is>
      </c>
      <c r="C227" s="18" t="inlineStr">
        <is>
          <t>Bùi Thanh Mai</t>
        </is>
      </c>
      <c r="D227" s="18" t="inlineStr">
        <is>
          <t>Trưởng Ban An Cư (Head of Settlement Operations)</t>
        </is>
      </c>
      <c r="E227" s="17" t="inlineStr">
        <is>
          <t>Vận Hành An Cư</t>
        </is>
      </c>
      <c r="F227" s="13" t="n">
        <v>65000000</v>
      </c>
      <c r="G227" s="13" t="n">
        <v>10000000</v>
      </c>
      <c r="H227" s="20" t="n">
        <v>90.7</v>
      </c>
      <c r="I227" s="13" t="n">
        <v>5216250</v>
      </c>
      <c r="J227" s="13" t="n">
        <v>11311316</v>
      </c>
      <c r="K227" s="13" t="n">
        <v>0</v>
      </c>
      <c r="L227" s="13" t="n">
        <v>91527566</v>
      </c>
      <c r="M227" s="13" t="n">
        <v>5096000</v>
      </c>
      <c r="N227" s="13" t="n">
        <v>69031566</v>
      </c>
      <c r="O227" s="13" t="n">
        <v>14859470</v>
      </c>
      <c r="P227" s="13" t="n">
        <v>71572096</v>
      </c>
      <c r="Q227" s="13" t="n">
        <v>10244000</v>
      </c>
      <c r="R227" s="13" t="n">
        <v>3000000</v>
      </c>
      <c r="S227" s="13" t="n">
        <v>104771566</v>
      </c>
      <c r="T227" s="13" t="n">
        <v>0</v>
      </c>
    </row>
    <row r="228">
      <c r="A228" s="17" t="inlineStr">
        <is>
          <t>2026-04</t>
        </is>
      </c>
      <c r="B228" s="17" t="inlineStr">
        <is>
          <t>EMP011</t>
        </is>
      </c>
      <c r="C228" s="18" t="inlineStr">
        <is>
          <t>Đặng Văn Lâm</t>
        </is>
      </c>
      <c r="D228" s="18" t="inlineStr">
        <is>
          <t>Giám Đốc Tài Chính Quốc Tế (CFO)</t>
        </is>
      </c>
      <c r="E228" s="17" t="inlineStr">
        <is>
          <t>Tài Chính &amp; Kế Toán</t>
        </is>
      </c>
      <c r="F228" s="10" t="n">
        <v>90000000</v>
      </c>
      <c r="G228" s="10" t="n">
        <v>12000000</v>
      </c>
      <c r="H228" s="19" t="n">
        <v>100.5</v>
      </c>
      <c r="I228" s="10" t="n">
        <v>13837500</v>
      </c>
      <c r="J228" s="10" t="n">
        <v>16931212</v>
      </c>
      <c r="K228" s="10" t="n">
        <v>0</v>
      </c>
      <c r="L228" s="10" t="n">
        <v>132768712</v>
      </c>
      <c r="M228" s="10" t="n">
        <v>5346000</v>
      </c>
      <c r="N228" s="10" t="n">
        <v>105622712</v>
      </c>
      <c r="O228" s="10" t="n">
        <v>27117949</v>
      </c>
      <c r="P228" s="10" t="n">
        <v>100304763</v>
      </c>
      <c r="Q228" s="10" t="n">
        <v>10494000</v>
      </c>
      <c r="R228" s="10" t="n">
        <v>3000000</v>
      </c>
      <c r="S228" s="10" t="n">
        <v>146262712</v>
      </c>
      <c r="T228" s="10" t="n">
        <v>0</v>
      </c>
    </row>
    <row r="229">
      <c r="A229" s="17" t="inlineStr">
        <is>
          <t>2026-04</t>
        </is>
      </c>
      <c r="B229" s="17" t="inlineStr">
        <is>
          <t>EMP012</t>
        </is>
      </c>
      <c r="C229" s="18" t="inlineStr">
        <is>
          <t>Võ Quỳnh Trang</t>
        </is>
      </c>
      <c r="D229" s="18" t="inlineStr">
        <is>
          <t>Giám Đốc Nhân Sự &amp; Tuân Thủ (HR &amp; Compliance Dir.)</t>
        </is>
      </c>
      <c r="E229" s="17" t="inlineStr">
        <is>
          <t>Nhân Sự &amp; Quản Trị</t>
        </is>
      </c>
      <c r="F229" s="13" t="n">
        <v>65000000</v>
      </c>
      <c r="G229" s="13" t="n">
        <v>10000000</v>
      </c>
      <c r="H229" s="20" t="n">
        <v>100.5</v>
      </c>
      <c r="I229" s="13" t="n">
        <v>9993750</v>
      </c>
      <c r="J229" s="13" t="n">
        <v>12954852</v>
      </c>
      <c r="K229" s="13" t="n">
        <v>0</v>
      </c>
      <c r="L229" s="13" t="n">
        <v>97948602</v>
      </c>
      <c r="M229" s="13" t="n">
        <v>5096000</v>
      </c>
      <c r="N229" s="13" t="n">
        <v>75452602</v>
      </c>
      <c r="O229" s="13" t="n">
        <v>16785781</v>
      </c>
      <c r="P229" s="13" t="n">
        <v>76066821</v>
      </c>
      <c r="Q229" s="13" t="n">
        <v>10244000</v>
      </c>
      <c r="R229" s="13" t="n">
        <v>3000000</v>
      </c>
      <c r="S229" s="13" t="n">
        <v>111192602</v>
      </c>
      <c r="T229" s="13" t="n">
        <v>0</v>
      </c>
    </row>
    <row r="230">
      <c r="A230" s="17" t="inlineStr">
        <is>
          <t>2026-05</t>
        </is>
      </c>
      <c r="B230" s="17" t="inlineStr">
        <is>
          <t>EMP001</t>
        </is>
      </c>
      <c r="C230" s="18" t="inlineStr">
        <is>
          <t>Nguyễn Quốc Hùng</t>
        </is>
      </c>
      <c r="D230" s="18" t="inlineStr">
        <is>
          <t>Tổng Giám Đốc (Managing Director / CEO)</t>
        </is>
      </c>
      <c r="E230" s="17" t="inlineStr">
        <is>
          <t>Điều Hành Chung</t>
        </is>
      </c>
      <c r="F230" s="10" t="n">
        <v>130000000</v>
      </c>
      <c r="G230" s="10" t="n">
        <v>25000000</v>
      </c>
      <c r="H230" s="19" t="n">
        <v>101.5</v>
      </c>
      <c r="I230" s="10" t="n">
        <v>20962500</v>
      </c>
      <c r="J230" s="10" t="n">
        <v>78591363</v>
      </c>
      <c r="K230" s="10" t="n">
        <v>0</v>
      </c>
      <c r="L230" s="10" t="n">
        <v>254553863</v>
      </c>
      <c r="M230" s="10" t="n">
        <v>5438000</v>
      </c>
      <c r="N230" s="10" t="n">
        <v>227315863</v>
      </c>
      <c r="O230" s="10" t="n">
        <v>69710552</v>
      </c>
      <c r="P230" s="10" t="n">
        <v>179405311</v>
      </c>
      <c r="Q230" s="10" t="n">
        <v>10586000</v>
      </c>
      <c r="R230" s="10" t="n">
        <v>3000000</v>
      </c>
      <c r="S230" s="10" t="n">
        <v>268139863</v>
      </c>
      <c r="T230" s="10" t="n">
        <v>9823920389</v>
      </c>
    </row>
    <row r="231">
      <c r="A231" s="17" t="inlineStr">
        <is>
          <t>2026-05</t>
        </is>
      </c>
      <c r="B231" s="17" t="inlineStr">
        <is>
          <t>EMP002</t>
        </is>
      </c>
      <c r="C231" s="18" t="inlineStr">
        <is>
          <t>Trần Minh Tuấn</t>
        </is>
      </c>
      <c r="D231" s="18" t="inlineStr">
        <is>
          <t>Phó TGĐ Kinh Doanh (Deputy CEO &amp; Head of BD)</t>
        </is>
      </c>
      <c r="E231" s="17" t="inlineStr">
        <is>
          <t>Thương Mại &amp; BD</t>
        </is>
      </c>
      <c r="F231" s="13" t="n">
        <v>105000000</v>
      </c>
      <c r="G231" s="13" t="n">
        <v>20000000</v>
      </c>
      <c r="H231" s="20" t="n">
        <v>109</v>
      </c>
      <c r="I231" s="13" t="n">
        <v>22837500</v>
      </c>
      <c r="J231" s="13" t="n">
        <v>88534835</v>
      </c>
      <c r="K231" s="13" t="n">
        <v>10633236</v>
      </c>
      <c r="L231" s="13" t="n">
        <v>247005571</v>
      </c>
      <c r="M231" s="13" t="n">
        <v>5438000</v>
      </c>
      <c r="N231" s="13" t="n">
        <v>219767571</v>
      </c>
      <c r="O231" s="13" t="n">
        <v>67068650</v>
      </c>
      <c r="P231" s="13" t="n">
        <v>174498921</v>
      </c>
      <c r="Q231" s="13" t="n">
        <v>10586000</v>
      </c>
      <c r="R231" s="13" t="n">
        <v>3000000</v>
      </c>
      <c r="S231" s="13" t="n">
        <v>260591571</v>
      </c>
      <c r="T231" s="13" t="n">
        <v>6385548253</v>
      </c>
    </row>
    <row r="232">
      <c r="A232" s="17" t="inlineStr">
        <is>
          <t>2026-05</t>
        </is>
      </c>
      <c r="B232" s="17" t="inlineStr">
        <is>
          <t>EMP003</t>
        </is>
      </c>
      <c r="C232" s="18" t="inlineStr">
        <is>
          <t>LS. Lê Hoàng Nam</t>
        </is>
      </c>
      <c r="D232" s="18" t="inlineStr">
        <is>
          <t>Giám Đốc Pháp Lý &amp; Thụ Lý Hồ Sơ (Legal Director)</t>
        </is>
      </c>
      <c r="E232" s="17" t="inlineStr">
        <is>
          <t>Pháp Lý Di Trú</t>
        </is>
      </c>
      <c r="F232" s="10" t="n">
        <v>95000000</v>
      </c>
      <c r="G232" s="10" t="n">
        <v>15000000</v>
      </c>
      <c r="H232" s="19" t="n">
        <v>88.7</v>
      </c>
      <c r="I232" s="10" t="n">
        <v>6198750</v>
      </c>
      <c r="J232" s="10" t="n">
        <v>41633569</v>
      </c>
      <c r="K232" s="10" t="n">
        <v>8037212</v>
      </c>
      <c r="L232" s="10" t="n">
        <v>165869531</v>
      </c>
      <c r="M232" s="10" t="n">
        <v>5396000</v>
      </c>
      <c r="N232" s="10" t="n">
        <v>143073531</v>
      </c>
      <c r="O232" s="10" t="n">
        <v>40225736</v>
      </c>
      <c r="P232" s="10" t="n">
        <v>120247795</v>
      </c>
      <c r="Q232" s="10" t="n">
        <v>10544000</v>
      </c>
      <c r="R232" s="10" t="n">
        <v>3000000</v>
      </c>
      <c r="S232" s="10" t="n">
        <v>179413531</v>
      </c>
      <c r="T232" s="10" t="n">
        <v>0</v>
      </c>
    </row>
    <row r="233">
      <c r="A233" s="17" t="inlineStr">
        <is>
          <t>2026-05</t>
        </is>
      </c>
      <c r="B233" s="17" t="inlineStr">
        <is>
          <t>EMP004</t>
        </is>
      </c>
      <c r="C233" s="18" t="inlineStr">
        <is>
          <t>Phạm Thanh Hà</t>
        </is>
      </c>
      <c r="D233" s="18" t="inlineStr">
        <is>
          <t>Giám Đốc Thẩm Định Đầu Tư (Investment DD Director)</t>
        </is>
      </c>
      <c r="E233" s="17" t="inlineStr">
        <is>
          <t>Đầu Tư &amp; Thẩm Định</t>
        </is>
      </c>
      <c r="F233" s="13" t="n">
        <v>90000000</v>
      </c>
      <c r="G233" s="13" t="n">
        <v>15000000</v>
      </c>
      <c r="H233" s="20" t="n">
        <v>104.9</v>
      </c>
      <c r="I233" s="13" t="n">
        <v>16807500</v>
      </c>
      <c r="J233" s="13" t="n">
        <v>22259283</v>
      </c>
      <c r="K233" s="13" t="n">
        <v>0</v>
      </c>
      <c r="L233" s="13" t="n">
        <v>144066783</v>
      </c>
      <c r="M233" s="13" t="n">
        <v>5346000</v>
      </c>
      <c r="N233" s="13" t="n">
        <v>121320783</v>
      </c>
      <c r="O233" s="13" t="n">
        <v>32612274</v>
      </c>
      <c r="P233" s="13" t="n">
        <v>106108509</v>
      </c>
      <c r="Q233" s="13" t="n">
        <v>10494000</v>
      </c>
      <c r="R233" s="13" t="n">
        <v>3000000</v>
      </c>
      <c r="S233" s="13" t="n">
        <v>157560783</v>
      </c>
      <c r="T233" s="13" t="n">
        <v>0</v>
      </c>
    </row>
    <row r="234">
      <c r="A234" s="17" t="inlineStr">
        <is>
          <t>2026-05</t>
        </is>
      </c>
      <c r="B234" s="17" t="inlineStr">
        <is>
          <t>EMP005</t>
        </is>
      </c>
      <c r="C234" s="18" t="inlineStr">
        <is>
          <t>Vũ Hải Đăng</t>
        </is>
      </c>
      <c r="D234" s="18" t="inlineStr">
        <is>
          <t>Giám Đốc Khách Hàng VIP (Private Clients Director)</t>
        </is>
      </c>
      <c r="E234" s="17" t="inlineStr">
        <is>
          <t>Thương Mại &amp; BD</t>
        </is>
      </c>
      <c r="F234" s="10" t="n">
        <v>85000000</v>
      </c>
      <c r="G234" s="10" t="n">
        <v>20000000</v>
      </c>
      <c r="H234" s="19" t="n">
        <v>91.3</v>
      </c>
      <c r="I234" s="10" t="n">
        <v>7203750</v>
      </c>
      <c r="J234" s="10" t="n">
        <v>69768687</v>
      </c>
      <c r="K234" s="10" t="n">
        <v>10645874</v>
      </c>
      <c r="L234" s="10" t="n">
        <v>192618311</v>
      </c>
      <c r="M234" s="10" t="n">
        <v>5296000</v>
      </c>
      <c r="N234" s="10" t="n">
        <v>169922311</v>
      </c>
      <c r="O234" s="10" t="n">
        <v>49622809</v>
      </c>
      <c r="P234" s="10" t="n">
        <v>137699502</v>
      </c>
      <c r="Q234" s="10" t="n">
        <v>10444000</v>
      </c>
      <c r="R234" s="10" t="n">
        <v>3000000</v>
      </c>
      <c r="S234" s="10" t="n">
        <v>206062311</v>
      </c>
      <c r="T234" s="10" t="n">
        <v>3438372136</v>
      </c>
    </row>
    <row r="235">
      <c r="A235" s="17" t="inlineStr">
        <is>
          <t>2026-05</t>
        </is>
      </c>
      <c r="B235" s="17" t="inlineStr">
        <is>
          <t>EMP006</t>
        </is>
      </c>
      <c r="C235" s="18" t="inlineStr">
        <is>
          <t>Đỗ Phương Thảo</t>
        </is>
      </c>
      <c r="D235" s="18" t="inlineStr">
        <is>
          <t>Giám Đốc Marketing &amp; Thương Hiệu (CMO)</t>
        </is>
      </c>
      <c r="E235" s="17" t="inlineStr">
        <is>
          <t>Tiếp Thị &amp; Brand</t>
        </is>
      </c>
      <c r="F235" s="13" t="n">
        <v>80000000</v>
      </c>
      <c r="G235" s="13" t="n">
        <v>12000000</v>
      </c>
      <c r="H235" s="20" t="n">
        <v>102.2</v>
      </c>
      <c r="I235" s="13" t="n">
        <v>13320000</v>
      </c>
      <c r="J235" s="13" t="n">
        <v>10793133</v>
      </c>
      <c r="K235" s="13" t="n">
        <v>0</v>
      </c>
      <c r="L235" s="13" t="n">
        <v>116113133</v>
      </c>
      <c r="M235" s="13" t="n">
        <v>5246000</v>
      </c>
      <c r="N235" s="13" t="n">
        <v>97867133</v>
      </c>
      <c r="O235" s="13" t="n">
        <v>24403497</v>
      </c>
      <c r="P235" s="13" t="n">
        <v>86463636</v>
      </c>
      <c r="Q235" s="13" t="n">
        <v>10394000</v>
      </c>
      <c r="R235" s="13" t="n">
        <v>3000000</v>
      </c>
      <c r="S235" s="13" t="n">
        <v>129507133</v>
      </c>
      <c r="T235" s="13" t="n">
        <v>0</v>
      </c>
    </row>
    <row r="236">
      <c r="A236" s="17" t="inlineStr">
        <is>
          <t>2026-05</t>
        </is>
      </c>
      <c r="B236" s="17" t="inlineStr">
        <is>
          <t>EMP007</t>
        </is>
      </c>
      <c r="C236" s="18" t="inlineStr">
        <is>
          <t>Hoàng Gia Bách</t>
        </is>
      </c>
      <c r="D236" s="18" t="inlineStr">
        <is>
          <t>Giám Đốc Chi Nhánh Hà Nội (Northern Regional Dir.)</t>
        </is>
      </c>
      <c r="E236" s="17" t="inlineStr">
        <is>
          <t>Khối Chi Nhánh</t>
        </is>
      </c>
      <c r="F236" s="10" t="n">
        <v>85000000</v>
      </c>
      <c r="G236" s="10" t="n">
        <v>15000000</v>
      </c>
      <c r="H236" s="19" t="n">
        <v>98.5</v>
      </c>
      <c r="I236" s="10" t="n">
        <v>11793750</v>
      </c>
      <c r="J236" s="10" t="n">
        <v>61971717</v>
      </c>
      <c r="K236" s="10" t="n">
        <v>9434470</v>
      </c>
      <c r="L236" s="10" t="n">
        <v>183199937</v>
      </c>
      <c r="M236" s="10" t="n">
        <v>5296000</v>
      </c>
      <c r="N236" s="10" t="n">
        <v>156103937</v>
      </c>
      <c r="O236" s="10" t="n">
        <v>44786378</v>
      </c>
      <c r="P236" s="10" t="n">
        <v>133117559</v>
      </c>
      <c r="Q236" s="10" t="n">
        <v>10444000</v>
      </c>
      <c r="R236" s="10" t="n">
        <v>3000000</v>
      </c>
      <c r="S236" s="10" t="n">
        <v>196643937</v>
      </c>
      <c r="T236" s="10" t="n">
        <v>3733089748</v>
      </c>
    </row>
    <row r="237">
      <c r="A237" s="17" t="inlineStr">
        <is>
          <t>2026-05</t>
        </is>
      </c>
      <c r="B237" s="17" t="inlineStr">
        <is>
          <t>EMP008</t>
        </is>
      </c>
      <c r="C237" s="18" t="inlineStr">
        <is>
          <t>Ngô Thị Bích Ngọc</t>
        </is>
      </c>
      <c r="D237" s="18" t="inlineStr">
        <is>
          <t>Giám Đốc Chi Nhánh TP.HCM (Southern Regional Dir.)</t>
        </is>
      </c>
      <c r="E237" s="17" t="inlineStr">
        <is>
          <t>Khối Chi Nhánh</t>
        </is>
      </c>
      <c r="F237" s="13" t="n">
        <v>90000000</v>
      </c>
      <c r="G237" s="13" t="n">
        <v>15000000</v>
      </c>
      <c r="H237" s="20" t="n">
        <v>100.3</v>
      </c>
      <c r="I237" s="13" t="n">
        <v>13702500</v>
      </c>
      <c r="J237" s="13" t="n">
        <v>77587806</v>
      </c>
      <c r="K237" s="13" t="n">
        <v>12373813</v>
      </c>
      <c r="L237" s="13" t="n">
        <v>208664119</v>
      </c>
      <c r="M237" s="13" t="n">
        <v>5346000</v>
      </c>
      <c r="N237" s="13" t="n">
        <v>185918119</v>
      </c>
      <c r="O237" s="13" t="n">
        <v>55221342</v>
      </c>
      <c r="P237" s="13" t="n">
        <v>148096777</v>
      </c>
      <c r="Q237" s="13" t="n">
        <v>10494000</v>
      </c>
      <c r="R237" s="13" t="n">
        <v>3000000</v>
      </c>
      <c r="S237" s="13" t="n">
        <v>222158119</v>
      </c>
      <c r="T237" s="13" t="n">
        <v>4715481787</v>
      </c>
    </row>
    <row r="238">
      <c r="A238" s="17" t="inlineStr">
        <is>
          <t>2026-05</t>
        </is>
      </c>
      <c r="B238" s="17" t="inlineStr">
        <is>
          <t>EMP009</t>
        </is>
      </c>
      <c r="C238" s="18" t="inlineStr">
        <is>
          <t>Trịnh Minh Trí</t>
        </is>
      </c>
      <c r="D238" s="18" t="inlineStr">
        <is>
          <t>Trưởng Ban Đối Ngoại &amp; Lãnh Sự (Head of Consular)</t>
        </is>
      </c>
      <c r="E238" s="17" t="inlineStr">
        <is>
          <t>Đối Ngoại Lãnh Sự</t>
        </is>
      </c>
      <c r="F238" s="10" t="n">
        <v>70000000</v>
      </c>
      <c r="G238" s="10" t="n">
        <v>15000000</v>
      </c>
      <c r="H238" s="19" t="n">
        <v>102.9</v>
      </c>
      <c r="I238" s="10" t="n">
        <v>12022500</v>
      </c>
      <c r="J238" s="10" t="n">
        <v>44421456</v>
      </c>
      <c r="K238" s="10" t="n">
        <v>10769009</v>
      </c>
      <c r="L238" s="10" t="n">
        <v>152212965</v>
      </c>
      <c r="M238" s="10" t="n">
        <v>5146000</v>
      </c>
      <c r="N238" s="10" t="n">
        <v>129666965</v>
      </c>
      <c r="O238" s="10" t="n">
        <v>35533438</v>
      </c>
      <c r="P238" s="10" t="n">
        <v>111533527</v>
      </c>
      <c r="Q238" s="10" t="n">
        <v>10294000</v>
      </c>
      <c r="R238" s="10" t="n">
        <v>3000000</v>
      </c>
      <c r="S238" s="10" t="n">
        <v>165506965</v>
      </c>
      <c r="T238" s="10" t="n">
        <v>0</v>
      </c>
    </row>
    <row r="239">
      <c r="A239" s="17" t="inlineStr">
        <is>
          <t>2026-05</t>
        </is>
      </c>
      <c r="B239" s="17" t="inlineStr">
        <is>
          <t>EMP010</t>
        </is>
      </c>
      <c r="C239" s="18" t="inlineStr">
        <is>
          <t>Bùi Thanh Mai</t>
        </is>
      </c>
      <c r="D239" s="18" t="inlineStr">
        <is>
          <t>Trưởng Ban An Cư (Head of Settlement Operations)</t>
        </is>
      </c>
      <c r="E239" s="17" t="inlineStr">
        <is>
          <t>Vận Hành An Cư</t>
        </is>
      </c>
      <c r="F239" s="13" t="n">
        <v>65000000</v>
      </c>
      <c r="G239" s="13" t="n">
        <v>10000000</v>
      </c>
      <c r="H239" s="20" t="n">
        <v>91.5</v>
      </c>
      <c r="I239" s="13" t="n">
        <v>5606250</v>
      </c>
      <c r="J239" s="13" t="n">
        <v>13631947</v>
      </c>
      <c r="K239" s="13" t="n">
        <v>0</v>
      </c>
      <c r="L239" s="13" t="n">
        <v>94238197</v>
      </c>
      <c r="M239" s="13" t="n">
        <v>5096000</v>
      </c>
      <c r="N239" s="13" t="n">
        <v>71742197</v>
      </c>
      <c r="O239" s="13" t="n">
        <v>15672659</v>
      </c>
      <c r="P239" s="13" t="n">
        <v>73469538</v>
      </c>
      <c r="Q239" s="13" t="n">
        <v>10244000</v>
      </c>
      <c r="R239" s="13" t="n">
        <v>3000000</v>
      </c>
      <c r="S239" s="13" t="n">
        <v>107482197</v>
      </c>
      <c r="T239" s="13" t="n">
        <v>0</v>
      </c>
    </row>
    <row r="240">
      <c r="A240" s="17" t="inlineStr">
        <is>
          <t>2026-05</t>
        </is>
      </c>
      <c r="B240" s="17" t="inlineStr">
        <is>
          <t>EMP011</t>
        </is>
      </c>
      <c r="C240" s="18" t="inlineStr">
        <is>
          <t>Đặng Văn Lâm</t>
        </is>
      </c>
      <c r="D240" s="18" t="inlineStr">
        <is>
          <t>Giám Đốc Tài Chính Quốc Tế (CFO)</t>
        </is>
      </c>
      <c r="E240" s="17" t="inlineStr">
        <is>
          <t>Tài Chính &amp; Kế Toán</t>
        </is>
      </c>
      <c r="F240" s="10" t="n">
        <v>90000000</v>
      </c>
      <c r="G240" s="10" t="n">
        <v>12000000</v>
      </c>
      <c r="H240" s="19" t="n">
        <v>99.8</v>
      </c>
      <c r="I240" s="10" t="n">
        <v>13365000</v>
      </c>
      <c r="J240" s="10" t="n">
        <v>10453879</v>
      </c>
      <c r="K240" s="10" t="n">
        <v>0</v>
      </c>
      <c r="L240" s="10" t="n">
        <v>125818879</v>
      </c>
      <c r="M240" s="10" t="n">
        <v>5346000</v>
      </c>
      <c r="N240" s="10" t="n">
        <v>98672879</v>
      </c>
      <c r="O240" s="10" t="n">
        <v>24685508</v>
      </c>
      <c r="P240" s="10" t="n">
        <v>95787371</v>
      </c>
      <c r="Q240" s="10" t="n">
        <v>10494000</v>
      </c>
      <c r="R240" s="10" t="n">
        <v>3000000</v>
      </c>
      <c r="S240" s="10" t="n">
        <v>139312879</v>
      </c>
      <c r="T240" s="10" t="n">
        <v>0</v>
      </c>
    </row>
    <row r="241">
      <c r="A241" s="17" t="inlineStr">
        <is>
          <t>2026-05</t>
        </is>
      </c>
      <c r="B241" s="17" t="inlineStr">
        <is>
          <t>EMP012</t>
        </is>
      </c>
      <c r="C241" s="18" t="inlineStr">
        <is>
          <t>Võ Quỳnh Trang</t>
        </is>
      </c>
      <c r="D241" s="18" t="inlineStr">
        <is>
          <t>Giám Đốc Nhân Sự &amp; Tuân Thủ (HR &amp; Compliance Dir.)</t>
        </is>
      </c>
      <c r="E241" s="17" t="inlineStr">
        <is>
          <t>Nhân Sự &amp; Quản Trị</t>
        </is>
      </c>
      <c r="F241" s="13" t="n">
        <v>65000000</v>
      </c>
      <c r="G241" s="13" t="n">
        <v>10000000</v>
      </c>
      <c r="H241" s="20" t="n">
        <v>99</v>
      </c>
      <c r="I241" s="13" t="n">
        <v>9262500</v>
      </c>
      <c r="J241" s="13" t="n">
        <v>14118296</v>
      </c>
      <c r="K241" s="13" t="n">
        <v>0</v>
      </c>
      <c r="L241" s="13" t="n">
        <v>98380796</v>
      </c>
      <c r="M241" s="13" t="n">
        <v>5096000</v>
      </c>
      <c r="N241" s="13" t="n">
        <v>75884796</v>
      </c>
      <c r="O241" s="13" t="n">
        <v>16915439</v>
      </c>
      <c r="P241" s="13" t="n">
        <v>76369357</v>
      </c>
      <c r="Q241" s="13" t="n">
        <v>10244000</v>
      </c>
      <c r="R241" s="13" t="n">
        <v>3000000</v>
      </c>
      <c r="S241" s="13" t="n">
        <v>111624796</v>
      </c>
      <c r="T241" s="13" t="n">
        <v>0</v>
      </c>
    </row>
    <row r="242">
      <c r="A242" s="17" t="inlineStr">
        <is>
          <t>2026-06</t>
        </is>
      </c>
      <c r="B242" s="17" t="inlineStr">
        <is>
          <t>EMP001</t>
        </is>
      </c>
      <c r="C242" s="18" t="inlineStr">
        <is>
          <t>Nguyễn Quốc Hùng</t>
        </is>
      </c>
      <c r="D242" s="18" t="inlineStr">
        <is>
          <t>Tổng Giám Đốc (Managing Director / CEO)</t>
        </is>
      </c>
      <c r="E242" s="17" t="inlineStr">
        <is>
          <t>Điều Hành Chung</t>
        </is>
      </c>
      <c r="F242" s="10" t="n">
        <v>130000000</v>
      </c>
      <c r="G242" s="10" t="n">
        <v>25000000</v>
      </c>
      <c r="H242" s="19" t="n">
        <v>95.90000000000001</v>
      </c>
      <c r="I242" s="10" t="n">
        <v>15502500</v>
      </c>
      <c r="J242" s="10" t="n">
        <v>82610176</v>
      </c>
      <c r="K242" s="10" t="n">
        <v>104000000</v>
      </c>
      <c r="L242" s="10" t="n">
        <v>357112676</v>
      </c>
      <c r="M242" s="10" t="n">
        <v>5438000</v>
      </c>
      <c r="N242" s="10" t="n">
        <v>329874676</v>
      </c>
      <c r="O242" s="10" t="n">
        <v>105606137</v>
      </c>
      <c r="P242" s="10" t="n">
        <v>246068539</v>
      </c>
      <c r="Q242" s="10" t="n">
        <v>10586000</v>
      </c>
      <c r="R242" s="10" t="n">
        <v>3000000</v>
      </c>
      <c r="S242" s="10" t="n">
        <v>370698676</v>
      </c>
      <c r="T242" s="10" t="n">
        <v>10326271993</v>
      </c>
    </row>
    <row r="243">
      <c r="A243" s="17" t="inlineStr">
        <is>
          <t>2026-06</t>
        </is>
      </c>
      <c r="B243" s="17" t="inlineStr">
        <is>
          <t>EMP002</t>
        </is>
      </c>
      <c r="C243" s="18" t="inlineStr">
        <is>
          <t>Trần Minh Tuấn</t>
        </is>
      </c>
      <c r="D243" s="18" t="inlineStr">
        <is>
          <t>Phó TGĐ Kinh Doanh (Deputy CEO &amp; Head of BD)</t>
        </is>
      </c>
      <c r="E243" s="17" t="inlineStr">
        <is>
          <t>Thương Mại &amp; BD</t>
        </is>
      </c>
      <c r="F243" s="13" t="n">
        <v>105000000</v>
      </c>
      <c r="G243" s="13" t="n">
        <v>20000000</v>
      </c>
      <c r="H243" s="20" t="n">
        <v>103.2</v>
      </c>
      <c r="I243" s="13" t="n">
        <v>18270000</v>
      </c>
      <c r="J243" s="13" t="n">
        <v>91527248</v>
      </c>
      <c r="K243" s="13" t="n">
        <v>10194259</v>
      </c>
      <c r="L243" s="13" t="n">
        <v>244991507</v>
      </c>
      <c r="M243" s="13" t="n">
        <v>5438000</v>
      </c>
      <c r="N243" s="13" t="n">
        <v>217753507</v>
      </c>
      <c r="O243" s="13" t="n">
        <v>66363727</v>
      </c>
      <c r="P243" s="13" t="n">
        <v>173189780</v>
      </c>
      <c r="Q243" s="13" t="n">
        <v>10586000</v>
      </c>
      <c r="R243" s="13" t="n">
        <v>3000000</v>
      </c>
      <c r="S243" s="13" t="n">
        <v>258577507</v>
      </c>
      <c r="T243" s="13" t="n">
        <v>6712076795</v>
      </c>
    </row>
    <row r="244">
      <c r="A244" s="17" t="inlineStr">
        <is>
          <t>2026-06</t>
        </is>
      </c>
      <c r="B244" s="17" t="inlineStr">
        <is>
          <t>EMP003</t>
        </is>
      </c>
      <c r="C244" s="18" t="inlineStr">
        <is>
          <t>LS. Lê Hoàng Nam</t>
        </is>
      </c>
      <c r="D244" s="18" t="inlineStr">
        <is>
          <t>Giám Đốc Pháp Lý &amp; Thụ Lý Hồ Sơ (Legal Director)</t>
        </is>
      </c>
      <c r="E244" s="17" t="inlineStr">
        <is>
          <t>Pháp Lý Di Trú</t>
        </is>
      </c>
      <c r="F244" s="10" t="n">
        <v>95000000</v>
      </c>
      <c r="G244" s="10" t="n">
        <v>15000000</v>
      </c>
      <c r="H244" s="19" t="n">
        <v>91.09999999999999</v>
      </c>
      <c r="I244" s="10" t="n">
        <v>7908750</v>
      </c>
      <c r="J244" s="10" t="n">
        <v>26595651</v>
      </c>
      <c r="K244" s="10" t="n">
        <v>3265558</v>
      </c>
      <c r="L244" s="10" t="n">
        <v>147769959</v>
      </c>
      <c r="M244" s="10" t="n">
        <v>5396000</v>
      </c>
      <c r="N244" s="10" t="n">
        <v>124973959</v>
      </c>
      <c r="O244" s="10" t="n">
        <v>33890886</v>
      </c>
      <c r="P244" s="10" t="n">
        <v>108483073</v>
      </c>
      <c r="Q244" s="10" t="n">
        <v>10544000</v>
      </c>
      <c r="R244" s="10" t="n">
        <v>3000000</v>
      </c>
      <c r="S244" s="10" t="n">
        <v>161313959</v>
      </c>
      <c r="T244" s="10" t="n">
        <v>0</v>
      </c>
    </row>
    <row r="245">
      <c r="A245" s="17" t="inlineStr">
        <is>
          <t>2026-06</t>
        </is>
      </c>
      <c r="B245" s="17" t="inlineStr">
        <is>
          <t>EMP004</t>
        </is>
      </c>
      <c r="C245" s="18" t="inlineStr">
        <is>
          <t>Phạm Thanh Hà</t>
        </is>
      </c>
      <c r="D245" s="18" t="inlineStr">
        <is>
          <t>Giám Đốc Thẩm Định Đầu Tư (Investment DD Director)</t>
        </is>
      </c>
      <c r="E245" s="17" t="inlineStr">
        <is>
          <t>Đầu Tư &amp; Thẩm Định</t>
        </is>
      </c>
      <c r="F245" s="13" t="n">
        <v>90000000</v>
      </c>
      <c r="G245" s="13" t="n">
        <v>15000000</v>
      </c>
      <c r="H245" s="20" t="n">
        <v>91.3</v>
      </c>
      <c r="I245" s="13" t="n">
        <v>7627500</v>
      </c>
      <c r="J245" s="13" t="n">
        <v>32358370</v>
      </c>
      <c r="K245" s="13" t="n">
        <v>0</v>
      </c>
      <c r="L245" s="13" t="n">
        <v>144985870</v>
      </c>
      <c r="M245" s="13" t="n">
        <v>5346000</v>
      </c>
      <c r="N245" s="13" t="n">
        <v>122239870</v>
      </c>
      <c r="O245" s="13" t="n">
        <v>32933954</v>
      </c>
      <c r="P245" s="13" t="n">
        <v>106705916</v>
      </c>
      <c r="Q245" s="13" t="n">
        <v>10494000</v>
      </c>
      <c r="R245" s="13" t="n">
        <v>3000000</v>
      </c>
      <c r="S245" s="13" t="n">
        <v>158479870</v>
      </c>
      <c r="T245" s="13" t="n">
        <v>0</v>
      </c>
    </row>
    <row r="246">
      <c r="A246" s="17" t="inlineStr">
        <is>
          <t>2026-06</t>
        </is>
      </c>
      <c r="B246" s="17" t="inlineStr">
        <is>
          <t>EMP005</t>
        </is>
      </c>
      <c r="C246" s="18" t="inlineStr">
        <is>
          <t>Vũ Hải Đăng</t>
        </is>
      </c>
      <c r="D246" s="18" t="inlineStr">
        <is>
          <t>Giám Đốc Khách Hàng VIP (Private Clients Director)</t>
        </is>
      </c>
      <c r="E246" s="17" t="inlineStr">
        <is>
          <t>Thương Mại &amp; BD</t>
        </is>
      </c>
      <c r="F246" s="10" t="n">
        <v>85000000</v>
      </c>
      <c r="G246" s="10" t="n">
        <v>20000000</v>
      </c>
      <c r="H246" s="19" t="n">
        <v>92.40000000000001</v>
      </c>
      <c r="I246" s="10" t="n">
        <v>7905000</v>
      </c>
      <c r="J246" s="10" t="n">
        <v>77548879</v>
      </c>
      <c r="K246" s="10" t="n">
        <v>18186628</v>
      </c>
      <c r="L246" s="10" t="n">
        <v>208640507</v>
      </c>
      <c r="M246" s="10" t="n">
        <v>5296000</v>
      </c>
      <c r="N246" s="10" t="n">
        <v>185944507</v>
      </c>
      <c r="O246" s="10" t="n">
        <v>55230577</v>
      </c>
      <c r="P246" s="10" t="n">
        <v>148113930</v>
      </c>
      <c r="Q246" s="10" t="n">
        <v>10444000</v>
      </c>
      <c r="R246" s="10" t="n">
        <v>3000000</v>
      </c>
      <c r="S246" s="10" t="n">
        <v>222084507</v>
      </c>
      <c r="T246" s="10" t="n">
        <v>3614195198</v>
      </c>
    </row>
    <row r="247">
      <c r="A247" s="17" t="inlineStr">
        <is>
          <t>2026-06</t>
        </is>
      </c>
      <c r="B247" s="17" t="inlineStr">
        <is>
          <t>EMP006</t>
        </is>
      </c>
      <c r="C247" s="18" t="inlineStr">
        <is>
          <t>Đỗ Phương Thảo</t>
        </is>
      </c>
      <c r="D247" s="18" t="inlineStr">
        <is>
          <t>Giám Đốc Marketing &amp; Thương Hiệu (CMO)</t>
        </is>
      </c>
      <c r="E247" s="17" t="inlineStr">
        <is>
          <t>Tiếp Thị &amp; Brand</t>
        </is>
      </c>
      <c r="F247" s="13" t="n">
        <v>80000000</v>
      </c>
      <c r="G247" s="13" t="n">
        <v>12000000</v>
      </c>
      <c r="H247" s="20" t="n">
        <v>99.40000000000001</v>
      </c>
      <c r="I247" s="13" t="n">
        <v>11640000</v>
      </c>
      <c r="J247" s="13" t="n">
        <v>13876647</v>
      </c>
      <c r="K247" s="13" t="n">
        <v>0</v>
      </c>
      <c r="L247" s="13" t="n">
        <v>117516647</v>
      </c>
      <c r="M247" s="13" t="n">
        <v>5246000</v>
      </c>
      <c r="N247" s="13" t="n">
        <v>99270647</v>
      </c>
      <c r="O247" s="13" t="n">
        <v>24894726</v>
      </c>
      <c r="P247" s="13" t="n">
        <v>87375921</v>
      </c>
      <c r="Q247" s="13" t="n">
        <v>10394000</v>
      </c>
      <c r="R247" s="13" t="n">
        <v>3000000</v>
      </c>
      <c r="S247" s="13" t="n">
        <v>130910647</v>
      </c>
      <c r="T247" s="13" t="n">
        <v>0</v>
      </c>
    </row>
    <row r="248">
      <c r="A248" s="17" t="inlineStr">
        <is>
          <t>2026-06</t>
        </is>
      </c>
      <c r="B248" s="17" t="inlineStr">
        <is>
          <t>EMP007</t>
        </is>
      </c>
      <c r="C248" s="18" t="inlineStr">
        <is>
          <t>Hoàng Gia Bách</t>
        </is>
      </c>
      <c r="D248" s="18" t="inlineStr">
        <is>
          <t>Giám Đốc Chi Nhánh Hà Nội (Northern Regional Dir.)</t>
        </is>
      </c>
      <c r="E248" s="17" t="inlineStr">
        <is>
          <t>Khối Chi Nhánh</t>
        </is>
      </c>
      <c r="F248" s="10" t="n">
        <v>85000000</v>
      </c>
      <c r="G248" s="10" t="n">
        <v>15000000</v>
      </c>
      <c r="H248" s="19" t="n">
        <v>92.09999999999999</v>
      </c>
      <c r="I248" s="10" t="n">
        <v>7713750</v>
      </c>
      <c r="J248" s="10" t="n">
        <v>59330476</v>
      </c>
      <c r="K248" s="10" t="n">
        <v>6296761</v>
      </c>
      <c r="L248" s="10" t="n">
        <v>173340987</v>
      </c>
      <c r="M248" s="10" t="n">
        <v>5296000</v>
      </c>
      <c r="N248" s="10" t="n">
        <v>146244987</v>
      </c>
      <c r="O248" s="10" t="n">
        <v>41335745</v>
      </c>
      <c r="P248" s="10" t="n">
        <v>126709242</v>
      </c>
      <c r="Q248" s="10" t="n">
        <v>10444000</v>
      </c>
      <c r="R248" s="10" t="n">
        <v>3000000</v>
      </c>
      <c r="S248" s="10" t="n">
        <v>186784987</v>
      </c>
      <c r="T248" s="10" t="n">
        <v>3923983357</v>
      </c>
    </row>
    <row r="249">
      <c r="A249" s="17" t="inlineStr">
        <is>
          <t>2026-06</t>
        </is>
      </c>
      <c r="B249" s="17" t="inlineStr">
        <is>
          <t>EMP008</t>
        </is>
      </c>
      <c r="C249" s="18" t="inlineStr">
        <is>
          <t>Ngô Thị Bích Ngọc</t>
        </is>
      </c>
      <c r="D249" s="18" t="inlineStr">
        <is>
          <t>Giám Đốc Chi Nhánh TP.HCM (Southern Regional Dir.)</t>
        </is>
      </c>
      <c r="E249" s="17" t="inlineStr">
        <is>
          <t>Khối Chi Nhánh</t>
        </is>
      </c>
      <c r="F249" s="13" t="n">
        <v>90000000</v>
      </c>
      <c r="G249" s="13" t="n">
        <v>15000000</v>
      </c>
      <c r="H249" s="20" t="n">
        <v>92.09999999999999</v>
      </c>
      <c r="I249" s="13" t="n">
        <v>8167500</v>
      </c>
      <c r="J249" s="13" t="n">
        <v>77549863</v>
      </c>
      <c r="K249" s="13" t="n">
        <v>9814057</v>
      </c>
      <c r="L249" s="13" t="n">
        <v>200531420</v>
      </c>
      <c r="M249" s="13" t="n">
        <v>5346000</v>
      </c>
      <c r="N249" s="13" t="n">
        <v>177785420</v>
      </c>
      <c r="O249" s="13" t="n">
        <v>52374897</v>
      </c>
      <c r="P249" s="13" t="n">
        <v>142810523</v>
      </c>
      <c r="Q249" s="13" t="n">
        <v>10494000</v>
      </c>
      <c r="R249" s="13" t="n">
        <v>3000000</v>
      </c>
      <c r="S249" s="13" t="n">
        <v>214025420</v>
      </c>
      <c r="T249" s="13" t="n">
        <v>4956610557</v>
      </c>
    </row>
    <row r="250">
      <c r="A250" s="17" t="inlineStr">
        <is>
          <t>2026-06</t>
        </is>
      </c>
      <c r="B250" s="17" t="inlineStr">
        <is>
          <t>EMP009</t>
        </is>
      </c>
      <c r="C250" s="18" t="inlineStr">
        <is>
          <t>Trịnh Minh Trí</t>
        </is>
      </c>
      <c r="D250" s="18" t="inlineStr">
        <is>
          <t>Trưởng Ban Đối Ngoại &amp; Lãnh Sự (Head of Consular)</t>
        </is>
      </c>
      <c r="E250" s="17" t="inlineStr">
        <is>
          <t>Đối Ngoại Lãnh Sự</t>
        </is>
      </c>
      <c r="F250" s="10" t="n">
        <v>70000000</v>
      </c>
      <c r="G250" s="10" t="n">
        <v>15000000</v>
      </c>
      <c r="H250" s="19" t="n">
        <v>90.09999999999999</v>
      </c>
      <c r="I250" s="10" t="n">
        <v>5302500</v>
      </c>
      <c r="J250" s="10" t="n">
        <v>26393359</v>
      </c>
      <c r="K250" s="10" t="n">
        <v>4463561</v>
      </c>
      <c r="L250" s="10" t="n">
        <v>121159420</v>
      </c>
      <c r="M250" s="10" t="n">
        <v>5146000</v>
      </c>
      <c r="N250" s="10" t="n">
        <v>98613420</v>
      </c>
      <c r="O250" s="10" t="n">
        <v>24664697</v>
      </c>
      <c r="P250" s="10" t="n">
        <v>91348723</v>
      </c>
      <c r="Q250" s="10" t="n">
        <v>10294000</v>
      </c>
      <c r="R250" s="10" t="n">
        <v>3000000</v>
      </c>
      <c r="S250" s="10" t="n">
        <v>134453420</v>
      </c>
      <c r="T250" s="10" t="n">
        <v>0</v>
      </c>
    </row>
    <row r="251">
      <c r="A251" s="17" t="inlineStr">
        <is>
          <t>2026-06</t>
        </is>
      </c>
      <c r="B251" s="17" t="inlineStr">
        <is>
          <t>EMP010</t>
        </is>
      </c>
      <c r="C251" s="18" t="inlineStr">
        <is>
          <t>Bùi Thanh Mai</t>
        </is>
      </c>
      <c r="D251" s="18" t="inlineStr">
        <is>
          <t>Trưởng Ban An Cư (Head of Settlement Operations)</t>
        </is>
      </c>
      <c r="E251" s="17" t="inlineStr">
        <is>
          <t>Vận Hành An Cư</t>
        </is>
      </c>
      <c r="F251" s="13" t="n">
        <v>65000000</v>
      </c>
      <c r="G251" s="13" t="n">
        <v>10000000</v>
      </c>
      <c r="H251" s="20" t="n">
        <v>93</v>
      </c>
      <c r="I251" s="13" t="n">
        <v>6337500</v>
      </c>
      <c r="J251" s="13" t="n">
        <v>8514856</v>
      </c>
      <c r="K251" s="13" t="n">
        <v>0</v>
      </c>
      <c r="L251" s="13" t="n">
        <v>89852356</v>
      </c>
      <c r="M251" s="13" t="n">
        <v>5096000</v>
      </c>
      <c r="N251" s="13" t="n">
        <v>67356356</v>
      </c>
      <c r="O251" s="13" t="n">
        <v>14356907</v>
      </c>
      <c r="P251" s="13" t="n">
        <v>70399449</v>
      </c>
      <c r="Q251" s="13" t="n">
        <v>10244000</v>
      </c>
      <c r="R251" s="13" t="n">
        <v>3000000</v>
      </c>
      <c r="S251" s="13" t="n">
        <v>103096356</v>
      </c>
      <c r="T251" s="13" t="n">
        <v>0</v>
      </c>
    </row>
    <row r="252">
      <c r="A252" s="17" t="inlineStr">
        <is>
          <t>2026-06</t>
        </is>
      </c>
      <c r="B252" s="17" t="inlineStr">
        <is>
          <t>EMP011</t>
        </is>
      </c>
      <c r="C252" s="18" t="inlineStr">
        <is>
          <t>Đặng Văn Lâm</t>
        </is>
      </c>
      <c r="D252" s="18" t="inlineStr">
        <is>
          <t>Giám Đốc Tài Chính Quốc Tế (CFO)</t>
        </is>
      </c>
      <c r="E252" s="17" t="inlineStr">
        <is>
          <t>Tài Chính &amp; Kế Toán</t>
        </is>
      </c>
      <c r="F252" s="10" t="n">
        <v>90000000</v>
      </c>
      <c r="G252" s="10" t="n">
        <v>12000000</v>
      </c>
      <c r="H252" s="19" t="n">
        <v>100.1</v>
      </c>
      <c r="I252" s="10" t="n">
        <v>13567500</v>
      </c>
      <c r="J252" s="10" t="n">
        <v>15898975</v>
      </c>
      <c r="K252" s="10" t="n">
        <v>0</v>
      </c>
      <c r="L252" s="10" t="n">
        <v>131466475</v>
      </c>
      <c r="M252" s="10" t="n">
        <v>5346000</v>
      </c>
      <c r="N252" s="10" t="n">
        <v>104320475</v>
      </c>
      <c r="O252" s="10" t="n">
        <v>26662166</v>
      </c>
      <c r="P252" s="10" t="n">
        <v>99458309</v>
      </c>
      <c r="Q252" s="10" t="n">
        <v>10494000</v>
      </c>
      <c r="R252" s="10" t="n">
        <v>3000000</v>
      </c>
      <c r="S252" s="10" t="n">
        <v>144960475</v>
      </c>
      <c r="T252" s="10" t="n">
        <v>0</v>
      </c>
    </row>
    <row r="253">
      <c r="A253" s="17" t="inlineStr">
        <is>
          <t>2026-06</t>
        </is>
      </c>
      <c r="B253" s="17" t="inlineStr">
        <is>
          <t>EMP012</t>
        </is>
      </c>
      <c r="C253" s="18" t="inlineStr">
        <is>
          <t>Võ Quỳnh Trang</t>
        </is>
      </c>
      <c r="D253" s="18" t="inlineStr">
        <is>
          <t>Giám Đốc Nhân Sự &amp; Tuân Thủ (HR &amp; Compliance Dir.)</t>
        </is>
      </c>
      <c r="E253" s="17" t="inlineStr">
        <is>
          <t>Nhân Sự &amp; Quản Trị</t>
        </is>
      </c>
      <c r="F253" s="13" t="n">
        <v>65000000</v>
      </c>
      <c r="G253" s="13" t="n">
        <v>10000000</v>
      </c>
      <c r="H253" s="20" t="n">
        <v>88.90000000000001</v>
      </c>
      <c r="I253" s="13" t="n">
        <v>4338750</v>
      </c>
      <c r="J253" s="13" t="n">
        <v>12474635</v>
      </c>
      <c r="K253" s="13" t="n">
        <v>0</v>
      </c>
      <c r="L253" s="13" t="n">
        <v>91813385</v>
      </c>
      <c r="M253" s="13" t="n">
        <v>5096000</v>
      </c>
      <c r="N253" s="13" t="n">
        <v>69317385</v>
      </c>
      <c r="O253" s="13" t="n">
        <v>14945216</v>
      </c>
      <c r="P253" s="13" t="n">
        <v>71772169</v>
      </c>
      <c r="Q253" s="13" t="n">
        <v>10244000</v>
      </c>
      <c r="R253" s="13" t="n">
        <v>3000000</v>
      </c>
      <c r="S253" s="13" t="n">
        <v>105057385</v>
      </c>
      <c r="T253" s="13" t="n">
        <v>0</v>
      </c>
    </row>
    <row r="254">
      <c r="A254" s="17" t="inlineStr">
        <is>
          <t>2026-07</t>
        </is>
      </c>
      <c r="B254" s="17" t="inlineStr">
        <is>
          <t>EMP001</t>
        </is>
      </c>
      <c r="C254" s="18" t="inlineStr">
        <is>
          <t>Nguyễn Quốc Hùng</t>
        </is>
      </c>
      <c r="D254" s="18" t="inlineStr">
        <is>
          <t>Tổng Giám Đốc (Managing Director / CEO)</t>
        </is>
      </c>
      <c r="E254" s="17" t="inlineStr">
        <is>
          <t>Điều Hành Chung</t>
        </is>
      </c>
      <c r="F254" s="10" t="n">
        <v>130000000</v>
      </c>
      <c r="G254" s="10" t="n">
        <v>25000000</v>
      </c>
      <c r="H254" s="19" t="n">
        <v>90</v>
      </c>
      <c r="I254" s="10" t="n">
        <v>9750000</v>
      </c>
      <c r="J254" s="10" t="n">
        <v>101881802</v>
      </c>
      <c r="K254" s="10" t="n">
        <v>0</v>
      </c>
      <c r="L254" s="10" t="n">
        <v>266631802</v>
      </c>
      <c r="M254" s="10" t="n">
        <v>5438000</v>
      </c>
      <c r="N254" s="10" t="n">
        <v>239393802</v>
      </c>
      <c r="O254" s="10" t="n">
        <v>73937831</v>
      </c>
      <c r="P254" s="10" t="n">
        <v>187255971</v>
      </c>
      <c r="Q254" s="10" t="n">
        <v>10586000</v>
      </c>
      <c r="R254" s="10" t="n">
        <v>3000000</v>
      </c>
      <c r="S254" s="10" t="n">
        <v>280217802</v>
      </c>
      <c r="T254" s="10" t="n">
        <v>12735225208</v>
      </c>
    </row>
    <row r="255">
      <c r="A255" s="17" t="inlineStr">
        <is>
          <t>2026-07</t>
        </is>
      </c>
      <c r="B255" s="17" t="inlineStr">
        <is>
          <t>EMP002</t>
        </is>
      </c>
      <c r="C255" s="18" t="inlineStr">
        <is>
          <t>Trần Minh Tuấn</t>
        </is>
      </c>
      <c r="D255" s="18" t="inlineStr">
        <is>
          <t>Phó TGĐ Kinh Doanh (Deputy CEO &amp; Head of BD)</t>
        </is>
      </c>
      <c r="E255" s="17" t="inlineStr">
        <is>
          <t>Thương Mại &amp; BD</t>
        </is>
      </c>
      <c r="F255" s="13" t="n">
        <v>105000000</v>
      </c>
      <c r="G255" s="13" t="n">
        <v>20000000</v>
      </c>
      <c r="H255" s="20" t="n">
        <v>109</v>
      </c>
      <c r="I255" s="13" t="n">
        <v>22837500</v>
      </c>
      <c r="J255" s="13" t="n">
        <v>120768063</v>
      </c>
      <c r="K255" s="13" t="n">
        <v>50888919</v>
      </c>
      <c r="L255" s="13" t="n">
        <v>319494482</v>
      </c>
      <c r="M255" s="13" t="n">
        <v>5438000</v>
      </c>
      <c r="N255" s="13" t="n">
        <v>292256482</v>
      </c>
      <c r="O255" s="13" t="n">
        <v>92439769</v>
      </c>
      <c r="P255" s="13" t="n">
        <v>221616713</v>
      </c>
      <c r="Q255" s="13" t="n">
        <v>10586000</v>
      </c>
      <c r="R255" s="13" t="n">
        <v>3000000</v>
      </c>
      <c r="S255" s="13" t="n">
        <v>333080482</v>
      </c>
      <c r="T255" s="13" t="n">
        <v>8277896385</v>
      </c>
    </row>
    <row r="256">
      <c r="A256" s="17" t="inlineStr">
        <is>
          <t>2026-07</t>
        </is>
      </c>
      <c r="B256" s="17" t="inlineStr">
        <is>
          <t>EMP003</t>
        </is>
      </c>
      <c r="C256" s="18" t="inlineStr">
        <is>
          <t>LS. Lê Hoàng Nam</t>
        </is>
      </c>
      <c r="D256" s="18" t="inlineStr">
        <is>
          <t>Giám Đốc Pháp Lý &amp; Thụ Lý Hồ Sơ (Legal Director)</t>
        </is>
      </c>
      <c r="E256" s="17" t="inlineStr">
        <is>
          <t>Pháp Lý Di Trú</t>
        </is>
      </c>
      <c r="F256" s="10" t="n">
        <v>95000000</v>
      </c>
      <c r="G256" s="10" t="n">
        <v>15000000</v>
      </c>
      <c r="H256" s="19" t="n">
        <v>94.59999999999999</v>
      </c>
      <c r="I256" s="10" t="n">
        <v>10402500</v>
      </c>
      <c r="J256" s="10" t="n">
        <v>53701542</v>
      </c>
      <c r="K256" s="10" t="n">
        <v>35544562</v>
      </c>
      <c r="L256" s="10" t="n">
        <v>209648604</v>
      </c>
      <c r="M256" s="10" t="n">
        <v>5396000</v>
      </c>
      <c r="N256" s="10" t="n">
        <v>186852604</v>
      </c>
      <c r="O256" s="10" t="n">
        <v>55548411</v>
      </c>
      <c r="P256" s="10" t="n">
        <v>148704193</v>
      </c>
      <c r="Q256" s="10" t="n">
        <v>10544000</v>
      </c>
      <c r="R256" s="10" t="n">
        <v>3000000</v>
      </c>
      <c r="S256" s="10" t="n">
        <v>223192604</v>
      </c>
      <c r="T256" s="10" t="n">
        <v>0</v>
      </c>
    </row>
    <row r="257">
      <c r="A257" s="17" t="inlineStr">
        <is>
          <t>2026-07</t>
        </is>
      </c>
      <c r="B257" s="17" t="inlineStr">
        <is>
          <t>EMP004</t>
        </is>
      </c>
      <c r="C257" s="18" t="inlineStr">
        <is>
          <t>Phạm Thanh Hà</t>
        </is>
      </c>
      <c r="D257" s="18" t="inlineStr">
        <is>
          <t>Giám Đốc Thẩm Định Đầu Tư (Investment DD Director)</t>
        </is>
      </c>
      <c r="E257" s="17" t="inlineStr">
        <is>
          <t>Đầu Tư &amp; Thẩm Định</t>
        </is>
      </c>
      <c r="F257" s="13" t="n">
        <v>90000000</v>
      </c>
      <c r="G257" s="13" t="n">
        <v>15000000</v>
      </c>
      <c r="H257" s="20" t="n">
        <v>92.40000000000001</v>
      </c>
      <c r="I257" s="13" t="n">
        <v>8370000</v>
      </c>
      <c r="J257" s="13" t="n">
        <v>27733733</v>
      </c>
      <c r="K257" s="13" t="n">
        <v>0</v>
      </c>
      <c r="L257" s="13" t="n">
        <v>141103733</v>
      </c>
      <c r="M257" s="13" t="n">
        <v>5346000</v>
      </c>
      <c r="N257" s="13" t="n">
        <v>118357733</v>
      </c>
      <c r="O257" s="13" t="n">
        <v>31575207</v>
      </c>
      <c r="P257" s="13" t="n">
        <v>104182526</v>
      </c>
      <c r="Q257" s="13" t="n">
        <v>10494000</v>
      </c>
      <c r="R257" s="13" t="n">
        <v>3000000</v>
      </c>
      <c r="S257" s="13" t="n">
        <v>154597733</v>
      </c>
      <c r="T257" s="13" t="n">
        <v>0</v>
      </c>
    </row>
    <row r="258">
      <c r="A258" s="17" t="inlineStr">
        <is>
          <t>2026-07</t>
        </is>
      </c>
      <c r="B258" s="17" t="inlineStr">
        <is>
          <t>EMP005</t>
        </is>
      </c>
      <c r="C258" s="18" t="inlineStr">
        <is>
          <t>Vũ Hải Đăng</t>
        </is>
      </c>
      <c r="D258" s="18" t="inlineStr">
        <is>
          <t>Giám Đốc Khách Hàng VIP (Private Clients Director)</t>
        </is>
      </c>
      <c r="E258" s="17" t="inlineStr">
        <is>
          <t>Thương Mại &amp; BD</t>
        </is>
      </c>
      <c r="F258" s="10" t="n">
        <v>85000000</v>
      </c>
      <c r="G258" s="10" t="n">
        <v>20000000</v>
      </c>
      <c r="H258" s="19" t="n">
        <v>96.90000000000001</v>
      </c>
      <c r="I258" s="10" t="n">
        <v>10773750</v>
      </c>
      <c r="J258" s="10" t="n">
        <v>97818403</v>
      </c>
      <c r="K258" s="10" t="n">
        <v>60294204</v>
      </c>
      <c r="L258" s="10" t="n">
        <v>273886357</v>
      </c>
      <c r="M258" s="10" t="n">
        <v>5296000</v>
      </c>
      <c r="N258" s="10" t="n">
        <v>251190357</v>
      </c>
      <c r="O258" s="10" t="n">
        <v>78066625</v>
      </c>
      <c r="P258" s="10" t="n">
        <v>190523732</v>
      </c>
      <c r="Q258" s="10" t="n">
        <v>10444000</v>
      </c>
      <c r="R258" s="10" t="n">
        <v>3000000</v>
      </c>
      <c r="S258" s="10" t="n">
        <v>287330357</v>
      </c>
      <c r="T258" s="10" t="n">
        <v>4457328823</v>
      </c>
    </row>
    <row r="259">
      <c r="A259" s="17" t="inlineStr">
        <is>
          <t>2026-07</t>
        </is>
      </c>
      <c r="B259" s="17" t="inlineStr">
        <is>
          <t>EMP006</t>
        </is>
      </c>
      <c r="C259" s="18" t="inlineStr">
        <is>
          <t>Đỗ Phương Thảo</t>
        </is>
      </c>
      <c r="D259" s="18" t="inlineStr">
        <is>
          <t>Giám Đốc Marketing &amp; Thương Hiệu (CMO)</t>
        </is>
      </c>
      <c r="E259" s="17" t="inlineStr">
        <is>
          <t>Tiếp Thị &amp; Brand</t>
        </is>
      </c>
      <c r="F259" s="13" t="n">
        <v>80000000</v>
      </c>
      <c r="G259" s="13" t="n">
        <v>12000000</v>
      </c>
      <c r="H259" s="20" t="n">
        <v>96.90000000000001</v>
      </c>
      <c r="I259" s="13" t="n">
        <v>10140000</v>
      </c>
      <c r="J259" s="13" t="n">
        <v>11580389</v>
      </c>
      <c r="K259" s="13" t="n">
        <v>0</v>
      </c>
      <c r="L259" s="13" t="n">
        <v>113720389</v>
      </c>
      <c r="M259" s="13" t="n">
        <v>5246000</v>
      </c>
      <c r="N259" s="13" t="n">
        <v>95474389</v>
      </c>
      <c r="O259" s="13" t="n">
        <v>23566036</v>
      </c>
      <c r="P259" s="13" t="n">
        <v>84908353</v>
      </c>
      <c r="Q259" s="13" t="n">
        <v>10394000</v>
      </c>
      <c r="R259" s="13" t="n">
        <v>3000000</v>
      </c>
      <c r="S259" s="13" t="n">
        <v>127114389</v>
      </c>
      <c r="T259" s="13" t="n">
        <v>0</v>
      </c>
    </row>
    <row r="260">
      <c r="A260" s="17" t="inlineStr">
        <is>
          <t>2026-07</t>
        </is>
      </c>
      <c r="B260" s="17" t="inlineStr">
        <is>
          <t>EMP007</t>
        </is>
      </c>
      <c r="C260" s="18" t="inlineStr">
        <is>
          <t>Hoàng Gia Bách</t>
        </is>
      </c>
      <c r="D260" s="18" t="inlineStr">
        <is>
          <t>Giám Đốc Chi Nhánh Hà Nội (Northern Regional Dir.)</t>
        </is>
      </c>
      <c r="E260" s="17" t="inlineStr">
        <is>
          <t>Khối Chi Nhánh</t>
        </is>
      </c>
      <c r="F260" s="10" t="n">
        <v>85000000</v>
      </c>
      <c r="G260" s="10" t="n">
        <v>15000000</v>
      </c>
      <c r="H260" s="19" t="n">
        <v>105.9</v>
      </c>
      <c r="I260" s="10" t="n">
        <v>16511250</v>
      </c>
      <c r="J260" s="10" t="n">
        <v>71605006</v>
      </c>
      <c r="K260" s="10" t="n">
        <v>34968515</v>
      </c>
      <c r="L260" s="10" t="n">
        <v>223084771</v>
      </c>
      <c r="M260" s="10" t="n">
        <v>5296000</v>
      </c>
      <c r="N260" s="10" t="n">
        <v>195988771</v>
      </c>
      <c r="O260" s="10" t="n">
        <v>58746070</v>
      </c>
      <c r="P260" s="10" t="n">
        <v>159042701</v>
      </c>
      <c r="Q260" s="10" t="n">
        <v>10444000</v>
      </c>
      <c r="R260" s="10" t="n">
        <v>3000000</v>
      </c>
      <c r="S260" s="10" t="n">
        <v>236528771</v>
      </c>
      <c r="T260" s="10" t="n">
        <v>4839385579</v>
      </c>
    </row>
    <row r="261">
      <c r="A261" s="17" t="inlineStr">
        <is>
          <t>2026-07</t>
        </is>
      </c>
      <c r="B261" s="17" t="inlineStr">
        <is>
          <t>EMP008</t>
        </is>
      </c>
      <c r="C261" s="18" t="inlineStr">
        <is>
          <t>Ngô Thị Bích Ngọc</t>
        </is>
      </c>
      <c r="D261" s="18" t="inlineStr">
        <is>
          <t>Giám Đốc Chi Nhánh TP.HCM (Southern Regional Dir.)</t>
        </is>
      </c>
      <c r="E261" s="17" t="inlineStr">
        <is>
          <t>Khối Chi Nhánh</t>
        </is>
      </c>
      <c r="F261" s="13" t="n">
        <v>90000000</v>
      </c>
      <c r="G261" s="13" t="n">
        <v>15000000</v>
      </c>
      <c r="H261" s="20" t="n">
        <v>105.1</v>
      </c>
      <c r="I261" s="13" t="n">
        <v>16942500</v>
      </c>
      <c r="J261" s="13" t="n">
        <v>101671911</v>
      </c>
      <c r="K261" s="13" t="n">
        <v>58876893</v>
      </c>
      <c r="L261" s="13" t="n">
        <v>282491304</v>
      </c>
      <c r="M261" s="13" t="n">
        <v>5346000</v>
      </c>
      <c r="N261" s="13" t="n">
        <v>259745304</v>
      </c>
      <c r="O261" s="13" t="n">
        <v>81060856</v>
      </c>
      <c r="P261" s="13" t="n">
        <v>196084448</v>
      </c>
      <c r="Q261" s="13" t="n">
        <v>10494000</v>
      </c>
      <c r="R261" s="13" t="n">
        <v>3000000</v>
      </c>
      <c r="S261" s="13" t="n">
        <v>295985304</v>
      </c>
      <c r="T261" s="13" t="n">
        <v>6112908100</v>
      </c>
    </row>
    <row r="262">
      <c r="A262" s="17" t="inlineStr">
        <is>
          <t>2026-07</t>
        </is>
      </c>
      <c r="B262" s="17" t="inlineStr">
        <is>
          <t>EMP009</t>
        </is>
      </c>
      <c r="C262" s="18" t="inlineStr">
        <is>
          <t>Trịnh Minh Trí</t>
        </is>
      </c>
      <c r="D262" s="18" t="inlineStr">
        <is>
          <t>Trưởng Ban Đối Ngoại &amp; Lãnh Sự (Head of Consular)</t>
        </is>
      </c>
      <c r="E262" s="17" t="inlineStr">
        <is>
          <t>Đối Ngoại Lãnh Sự</t>
        </is>
      </c>
      <c r="F262" s="10" t="n">
        <v>70000000</v>
      </c>
      <c r="G262" s="10" t="n">
        <v>15000000</v>
      </c>
      <c r="H262" s="19" t="n">
        <v>100.8</v>
      </c>
      <c r="I262" s="10" t="n">
        <v>10920000</v>
      </c>
      <c r="J262" s="10" t="n">
        <v>30983090</v>
      </c>
      <c r="K262" s="10" t="n">
        <v>17245012</v>
      </c>
      <c r="L262" s="10" t="n">
        <v>144148102</v>
      </c>
      <c r="M262" s="10" t="n">
        <v>5146000</v>
      </c>
      <c r="N262" s="10" t="n">
        <v>121602102</v>
      </c>
      <c r="O262" s="10" t="n">
        <v>32710736</v>
      </c>
      <c r="P262" s="10" t="n">
        <v>106291366</v>
      </c>
      <c r="Q262" s="10" t="n">
        <v>10294000</v>
      </c>
      <c r="R262" s="10" t="n">
        <v>3000000</v>
      </c>
      <c r="S262" s="10" t="n">
        <v>157442102</v>
      </c>
      <c r="T262" s="10" t="n">
        <v>0</v>
      </c>
    </row>
    <row r="263">
      <c r="A263" s="17" t="inlineStr">
        <is>
          <t>2026-07</t>
        </is>
      </c>
      <c r="B263" s="17" t="inlineStr">
        <is>
          <t>EMP010</t>
        </is>
      </c>
      <c r="C263" s="18" t="inlineStr">
        <is>
          <t>Bùi Thanh Mai</t>
        </is>
      </c>
      <c r="D263" s="18" t="inlineStr">
        <is>
          <t>Trưởng Ban An Cư (Head of Settlement Operations)</t>
        </is>
      </c>
      <c r="E263" s="17" t="inlineStr">
        <is>
          <t>Vận Hành An Cư</t>
        </is>
      </c>
      <c r="F263" s="13" t="n">
        <v>65000000</v>
      </c>
      <c r="G263" s="13" t="n">
        <v>10000000</v>
      </c>
      <c r="H263" s="20" t="n">
        <v>100.8</v>
      </c>
      <c r="I263" s="13" t="n">
        <v>10140000</v>
      </c>
      <c r="J263" s="13" t="n">
        <v>7406482</v>
      </c>
      <c r="K263" s="13" t="n">
        <v>0</v>
      </c>
      <c r="L263" s="13" t="n">
        <v>92546482</v>
      </c>
      <c r="M263" s="13" t="n">
        <v>5096000</v>
      </c>
      <c r="N263" s="13" t="n">
        <v>70050482</v>
      </c>
      <c r="O263" s="13" t="n">
        <v>15165145</v>
      </c>
      <c r="P263" s="13" t="n">
        <v>72285337</v>
      </c>
      <c r="Q263" s="13" t="n">
        <v>10244000</v>
      </c>
      <c r="R263" s="13" t="n">
        <v>3000000</v>
      </c>
      <c r="S263" s="13" t="n">
        <v>105790482</v>
      </c>
      <c r="T263" s="13" t="n">
        <v>0</v>
      </c>
    </row>
    <row r="264">
      <c r="A264" s="17" t="inlineStr">
        <is>
          <t>2026-07</t>
        </is>
      </c>
      <c r="B264" s="17" t="inlineStr">
        <is>
          <t>EMP011</t>
        </is>
      </c>
      <c r="C264" s="18" t="inlineStr">
        <is>
          <t>Đặng Văn Lâm</t>
        </is>
      </c>
      <c r="D264" s="18" t="inlineStr">
        <is>
          <t>Giám Đốc Tài Chính Quốc Tế (CFO)</t>
        </is>
      </c>
      <c r="E264" s="17" t="inlineStr">
        <is>
          <t>Tài Chính &amp; Kế Toán</t>
        </is>
      </c>
      <c r="F264" s="10" t="n">
        <v>90000000</v>
      </c>
      <c r="G264" s="10" t="n">
        <v>12000000</v>
      </c>
      <c r="H264" s="19" t="n">
        <v>94.5</v>
      </c>
      <c r="I264" s="10" t="n">
        <v>9787500</v>
      </c>
      <c r="J264" s="10" t="n">
        <v>11953780</v>
      </c>
      <c r="K264" s="10" t="n">
        <v>0</v>
      </c>
      <c r="L264" s="10" t="n">
        <v>123741280</v>
      </c>
      <c r="M264" s="10" t="n">
        <v>5346000</v>
      </c>
      <c r="N264" s="10" t="n">
        <v>96595280</v>
      </c>
      <c r="O264" s="10" t="n">
        <v>23958348</v>
      </c>
      <c r="P264" s="10" t="n">
        <v>94436932</v>
      </c>
      <c r="Q264" s="10" t="n">
        <v>10494000</v>
      </c>
      <c r="R264" s="10" t="n">
        <v>3000000</v>
      </c>
      <c r="S264" s="10" t="n">
        <v>137235280</v>
      </c>
      <c r="T264" s="10" t="n">
        <v>0</v>
      </c>
    </row>
    <row r="265">
      <c r="A265" s="17" t="inlineStr">
        <is>
          <t>2026-07</t>
        </is>
      </c>
      <c r="B265" s="17" t="inlineStr">
        <is>
          <t>EMP012</t>
        </is>
      </c>
      <c r="C265" s="18" t="inlineStr">
        <is>
          <t>Võ Quỳnh Trang</t>
        </is>
      </c>
      <c r="D265" s="18" t="inlineStr">
        <is>
          <t>Giám Đốc Nhân Sự &amp; Tuân Thủ (HR &amp; Compliance Dir.)</t>
        </is>
      </c>
      <c r="E265" s="17" t="inlineStr">
        <is>
          <t>Nhân Sự &amp; Quản Trị</t>
        </is>
      </c>
      <c r="F265" s="13" t="n">
        <v>65000000</v>
      </c>
      <c r="G265" s="13" t="n">
        <v>10000000</v>
      </c>
      <c r="H265" s="20" t="n">
        <v>88.5</v>
      </c>
      <c r="I265" s="13" t="n">
        <v>4143750</v>
      </c>
      <c r="J265" s="13" t="n">
        <v>8130920</v>
      </c>
      <c r="K265" s="13" t="n">
        <v>0</v>
      </c>
      <c r="L265" s="13" t="n">
        <v>87274670</v>
      </c>
      <c r="M265" s="13" t="n">
        <v>5096000</v>
      </c>
      <c r="N265" s="13" t="n">
        <v>64778670</v>
      </c>
      <c r="O265" s="13" t="n">
        <v>13583601</v>
      </c>
      <c r="P265" s="13" t="n">
        <v>68595069</v>
      </c>
      <c r="Q265" s="13" t="n">
        <v>10244000</v>
      </c>
      <c r="R265" s="13" t="n">
        <v>3000000</v>
      </c>
      <c r="S265" s="13" t="n">
        <v>100518670</v>
      </c>
      <c r="T265" s="13" t="n">
        <v>0</v>
      </c>
    </row>
    <row r="266">
      <c r="A266" s="17" t="inlineStr">
        <is>
          <t>2026-08</t>
        </is>
      </c>
      <c r="B266" s="17" t="inlineStr">
        <is>
          <t>EMP001</t>
        </is>
      </c>
      <c r="C266" s="18" t="inlineStr">
        <is>
          <t>Nguyễn Quốc Hùng</t>
        </is>
      </c>
      <c r="D266" s="18" t="inlineStr">
        <is>
          <t>Tổng Giám Đốc (Managing Director / CEO)</t>
        </is>
      </c>
      <c r="E266" s="17" t="inlineStr">
        <is>
          <t>Điều Hành Chung</t>
        </is>
      </c>
      <c r="F266" s="10" t="n">
        <v>130000000</v>
      </c>
      <c r="G266" s="10" t="n">
        <v>25000000</v>
      </c>
      <c r="H266" s="19" t="n">
        <v>95.90000000000001</v>
      </c>
      <c r="I266" s="10" t="n">
        <v>15502500</v>
      </c>
      <c r="J266" s="10" t="n">
        <v>99389211</v>
      </c>
      <c r="K266" s="10" t="n">
        <v>0</v>
      </c>
      <c r="L266" s="10" t="n">
        <v>269891711</v>
      </c>
      <c r="M266" s="10" t="n">
        <v>5438000</v>
      </c>
      <c r="N266" s="10" t="n">
        <v>242653711</v>
      </c>
      <c r="O266" s="10" t="n">
        <v>75078799</v>
      </c>
      <c r="P266" s="10" t="n">
        <v>189374912</v>
      </c>
      <c r="Q266" s="10" t="n">
        <v>10586000</v>
      </c>
      <c r="R266" s="10" t="n">
        <v>3000000</v>
      </c>
      <c r="S266" s="10" t="n">
        <v>283477711</v>
      </c>
      <c r="T266" s="10" t="n">
        <v>12423651366</v>
      </c>
    </row>
    <row r="267">
      <c r="A267" s="17" t="inlineStr">
        <is>
          <t>2026-08</t>
        </is>
      </c>
      <c r="B267" s="17" t="inlineStr">
        <is>
          <t>EMP002</t>
        </is>
      </c>
      <c r="C267" s="18" t="inlineStr">
        <is>
          <t>Trần Minh Tuấn</t>
        </is>
      </c>
      <c r="D267" s="18" t="inlineStr">
        <is>
          <t>Phó TGĐ Kinh Doanh (Deputy CEO &amp; Head of BD)</t>
        </is>
      </c>
      <c r="E267" s="17" t="inlineStr">
        <is>
          <t>Thương Mại &amp; BD</t>
        </is>
      </c>
      <c r="F267" s="13" t="n">
        <v>105000000</v>
      </c>
      <c r="G267" s="13" t="n">
        <v>20000000</v>
      </c>
      <c r="H267" s="20" t="n">
        <v>90.90000000000001</v>
      </c>
      <c r="I267" s="13" t="n">
        <v>8583750</v>
      </c>
      <c r="J267" s="13" t="n">
        <v>117470342</v>
      </c>
      <c r="K267" s="13" t="n">
        <v>22206460</v>
      </c>
      <c r="L267" s="13" t="n">
        <v>273260552</v>
      </c>
      <c r="M267" s="13" t="n">
        <v>5438000</v>
      </c>
      <c r="N267" s="13" t="n">
        <v>246022552</v>
      </c>
      <c r="O267" s="13" t="n">
        <v>76257893</v>
      </c>
      <c r="P267" s="13" t="n">
        <v>191564659</v>
      </c>
      <c r="Q267" s="13" t="n">
        <v>10586000</v>
      </c>
      <c r="R267" s="13" t="n">
        <v>3000000</v>
      </c>
      <c r="S267" s="13" t="n">
        <v>286846552</v>
      </c>
      <c r="T267" s="13" t="n">
        <v>8075373388</v>
      </c>
    </row>
    <row r="268">
      <c r="A268" s="17" t="inlineStr">
        <is>
          <t>2026-08</t>
        </is>
      </c>
      <c r="B268" s="17" t="inlineStr">
        <is>
          <t>EMP003</t>
        </is>
      </c>
      <c r="C268" s="18" t="inlineStr">
        <is>
          <t>LS. Lê Hoàng Nam</t>
        </is>
      </c>
      <c r="D268" s="18" t="inlineStr">
        <is>
          <t>Giám Đốc Pháp Lý &amp; Thụ Lý Hồ Sơ (Legal Director)</t>
        </is>
      </c>
      <c r="E268" s="17" t="inlineStr">
        <is>
          <t>Pháp Lý Di Trú</t>
        </is>
      </c>
      <c r="F268" s="10" t="n">
        <v>95000000</v>
      </c>
      <c r="G268" s="10" t="n">
        <v>15000000</v>
      </c>
      <c r="H268" s="19" t="n">
        <v>104.3</v>
      </c>
      <c r="I268" s="10" t="n">
        <v>17313750</v>
      </c>
      <c r="J268" s="10" t="n">
        <v>55273988</v>
      </c>
      <c r="K268" s="10" t="n">
        <v>9660032</v>
      </c>
      <c r="L268" s="10" t="n">
        <v>192247770</v>
      </c>
      <c r="M268" s="10" t="n">
        <v>5396000</v>
      </c>
      <c r="N268" s="10" t="n">
        <v>169451770</v>
      </c>
      <c r="O268" s="10" t="n">
        <v>49458119</v>
      </c>
      <c r="P268" s="10" t="n">
        <v>137393651</v>
      </c>
      <c r="Q268" s="10" t="n">
        <v>10544000</v>
      </c>
      <c r="R268" s="10" t="n">
        <v>3000000</v>
      </c>
      <c r="S268" s="10" t="n">
        <v>205791770</v>
      </c>
      <c r="T268" s="10" t="n">
        <v>0</v>
      </c>
    </row>
    <row r="269">
      <c r="A269" s="17" t="inlineStr">
        <is>
          <t>2026-08</t>
        </is>
      </c>
      <c r="B269" s="17" t="inlineStr">
        <is>
          <t>EMP004</t>
        </is>
      </c>
      <c r="C269" s="18" t="inlineStr">
        <is>
          <t>Phạm Thanh Hà</t>
        </is>
      </c>
      <c r="D269" s="18" t="inlineStr">
        <is>
          <t>Giám Đốc Thẩm Định Đầu Tư (Investment DD Director)</t>
        </is>
      </c>
      <c r="E269" s="17" t="inlineStr">
        <is>
          <t>Đầu Tư &amp; Thẩm Định</t>
        </is>
      </c>
      <c r="F269" s="13" t="n">
        <v>90000000</v>
      </c>
      <c r="G269" s="13" t="n">
        <v>15000000</v>
      </c>
      <c r="H269" s="20" t="n">
        <v>90.09999999999999</v>
      </c>
      <c r="I269" s="13" t="n">
        <v>6817500</v>
      </c>
      <c r="J269" s="13" t="n">
        <v>37364770</v>
      </c>
      <c r="K269" s="13" t="n">
        <v>0</v>
      </c>
      <c r="L269" s="13" t="n">
        <v>149182270</v>
      </c>
      <c r="M269" s="13" t="n">
        <v>5346000</v>
      </c>
      <c r="N269" s="13" t="n">
        <v>126436270</v>
      </c>
      <c r="O269" s="13" t="n">
        <v>34402694</v>
      </c>
      <c r="P269" s="13" t="n">
        <v>109433576</v>
      </c>
      <c r="Q269" s="13" t="n">
        <v>10494000</v>
      </c>
      <c r="R269" s="13" t="n">
        <v>3000000</v>
      </c>
      <c r="S269" s="13" t="n">
        <v>162676270</v>
      </c>
      <c r="T269" s="13" t="n">
        <v>0</v>
      </c>
    </row>
    <row r="270">
      <c r="A270" s="17" t="inlineStr">
        <is>
          <t>2026-08</t>
        </is>
      </c>
      <c r="B270" s="17" t="inlineStr">
        <is>
          <t>EMP005</t>
        </is>
      </c>
      <c r="C270" s="18" t="inlineStr">
        <is>
          <t>Vũ Hải Đăng</t>
        </is>
      </c>
      <c r="D270" s="18" t="inlineStr">
        <is>
          <t>Giám Đốc Khách Hàng VIP (Private Clients Director)</t>
        </is>
      </c>
      <c r="E270" s="17" t="inlineStr">
        <is>
          <t>Thương Mại &amp; BD</t>
        </is>
      </c>
      <c r="F270" s="10" t="n">
        <v>85000000</v>
      </c>
      <c r="G270" s="10" t="n">
        <v>20000000</v>
      </c>
      <c r="H270" s="19" t="n">
        <v>102.1</v>
      </c>
      <c r="I270" s="10" t="n">
        <v>14088750</v>
      </c>
      <c r="J270" s="10" t="n">
        <v>99418797</v>
      </c>
      <c r="K270" s="10" t="n">
        <v>16379141</v>
      </c>
      <c r="L270" s="10" t="n">
        <v>234886688</v>
      </c>
      <c r="M270" s="10" t="n">
        <v>5296000</v>
      </c>
      <c r="N270" s="10" t="n">
        <v>212190688</v>
      </c>
      <c r="O270" s="10" t="n">
        <v>64416741</v>
      </c>
      <c r="P270" s="10" t="n">
        <v>165173947</v>
      </c>
      <c r="Q270" s="10" t="n">
        <v>10444000</v>
      </c>
      <c r="R270" s="10" t="n">
        <v>3000000</v>
      </c>
      <c r="S270" s="10" t="n">
        <v>248330688</v>
      </c>
      <c r="T270" s="10" t="n">
        <v>4348277978</v>
      </c>
    </row>
    <row r="271">
      <c r="A271" s="17" t="inlineStr">
        <is>
          <t>2026-08</t>
        </is>
      </c>
      <c r="B271" s="17" t="inlineStr">
        <is>
          <t>EMP006</t>
        </is>
      </c>
      <c r="C271" s="18" t="inlineStr">
        <is>
          <t>Đỗ Phương Thảo</t>
        </is>
      </c>
      <c r="D271" s="18" t="inlineStr">
        <is>
          <t>Giám Đốc Marketing &amp; Thương Hiệu (CMO)</t>
        </is>
      </c>
      <c r="E271" s="17" t="inlineStr">
        <is>
          <t>Tiếp Thị &amp; Brand</t>
        </is>
      </c>
      <c r="F271" s="13" t="n">
        <v>80000000</v>
      </c>
      <c r="G271" s="13" t="n">
        <v>12000000</v>
      </c>
      <c r="H271" s="20" t="n">
        <v>91.09999999999999</v>
      </c>
      <c r="I271" s="13" t="n">
        <v>6660000</v>
      </c>
      <c r="J271" s="13" t="n">
        <v>9578290</v>
      </c>
      <c r="K271" s="13" t="n">
        <v>0</v>
      </c>
      <c r="L271" s="13" t="n">
        <v>108238290</v>
      </c>
      <c r="M271" s="13" t="n">
        <v>5246000</v>
      </c>
      <c r="N271" s="13" t="n">
        <v>89992290</v>
      </c>
      <c r="O271" s="13" t="n">
        <v>21647301</v>
      </c>
      <c r="P271" s="13" t="n">
        <v>81344989</v>
      </c>
      <c r="Q271" s="13" t="n">
        <v>10394000</v>
      </c>
      <c r="R271" s="13" t="n">
        <v>3000000</v>
      </c>
      <c r="S271" s="13" t="n">
        <v>121632290</v>
      </c>
      <c r="T271" s="13" t="n">
        <v>0</v>
      </c>
    </row>
    <row r="272">
      <c r="A272" s="17" t="inlineStr">
        <is>
          <t>2026-08</t>
        </is>
      </c>
      <c r="B272" s="17" t="inlineStr">
        <is>
          <t>EMP007</t>
        </is>
      </c>
      <c r="C272" s="18" t="inlineStr">
        <is>
          <t>Hoàng Gia Bách</t>
        </is>
      </c>
      <c r="D272" s="18" t="inlineStr">
        <is>
          <t>Giám Đốc Chi Nhánh Hà Nội (Northern Regional Dir.)</t>
        </is>
      </c>
      <c r="E272" s="17" t="inlineStr">
        <is>
          <t>Khối Chi Nhánh</t>
        </is>
      </c>
      <c r="F272" s="10" t="n">
        <v>85000000</v>
      </c>
      <c r="G272" s="10" t="n">
        <v>15000000</v>
      </c>
      <c r="H272" s="19" t="n">
        <v>96.7</v>
      </c>
      <c r="I272" s="10" t="n">
        <v>10646250</v>
      </c>
      <c r="J272" s="10" t="n">
        <v>75835620</v>
      </c>
      <c r="K272" s="10" t="n">
        <v>14076361</v>
      </c>
      <c r="L272" s="10" t="n">
        <v>200558231</v>
      </c>
      <c r="M272" s="10" t="n">
        <v>5296000</v>
      </c>
      <c r="N272" s="10" t="n">
        <v>173462231</v>
      </c>
      <c r="O272" s="10" t="n">
        <v>50861781</v>
      </c>
      <c r="P272" s="10" t="n">
        <v>144400450</v>
      </c>
      <c r="Q272" s="10" t="n">
        <v>10444000</v>
      </c>
      <c r="R272" s="10" t="n">
        <v>3000000</v>
      </c>
      <c r="S272" s="10" t="n">
        <v>214002231</v>
      </c>
      <c r="T272" s="10" t="n">
        <v>4720987519</v>
      </c>
    </row>
    <row r="273">
      <c r="A273" s="17" t="inlineStr">
        <is>
          <t>2026-08</t>
        </is>
      </c>
      <c r="B273" s="17" t="inlineStr">
        <is>
          <t>EMP008</t>
        </is>
      </c>
      <c r="C273" s="18" t="inlineStr">
        <is>
          <t>Ngô Thị Bích Ngọc</t>
        </is>
      </c>
      <c r="D273" s="18" t="inlineStr">
        <is>
          <t>Giám Đốc Chi Nhánh TP.HCM (Southern Regional Dir.)</t>
        </is>
      </c>
      <c r="E273" s="17" t="inlineStr">
        <is>
          <t>Khối Chi Nhánh</t>
        </is>
      </c>
      <c r="F273" s="13" t="n">
        <v>90000000</v>
      </c>
      <c r="G273" s="13" t="n">
        <v>15000000</v>
      </c>
      <c r="H273" s="20" t="n">
        <v>96.5</v>
      </c>
      <c r="I273" s="13" t="n">
        <v>11137500</v>
      </c>
      <c r="J273" s="13" t="n">
        <v>100055662</v>
      </c>
      <c r="K273" s="13" t="n">
        <v>19097246</v>
      </c>
      <c r="L273" s="13" t="n">
        <v>235290408</v>
      </c>
      <c r="M273" s="13" t="n">
        <v>5346000</v>
      </c>
      <c r="N273" s="13" t="n">
        <v>212544408</v>
      </c>
      <c r="O273" s="13" t="n">
        <v>64540543</v>
      </c>
      <c r="P273" s="13" t="n">
        <v>165403865</v>
      </c>
      <c r="Q273" s="13" t="n">
        <v>10494000</v>
      </c>
      <c r="R273" s="13" t="n">
        <v>3000000</v>
      </c>
      <c r="S273" s="13" t="n">
        <v>248784408</v>
      </c>
      <c r="T273" s="13" t="n">
        <v>5963352656</v>
      </c>
    </row>
    <row r="274">
      <c r="A274" s="17" t="inlineStr">
        <is>
          <t>2026-08</t>
        </is>
      </c>
      <c r="B274" s="17" t="inlineStr">
        <is>
          <t>EMP009</t>
        </is>
      </c>
      <c r="C274" s="18" t="inlineStr">
        <is>
          <t>Trịnh Minh Trí</t>
        </is>
      </c>
      <c r="D274" s="18" t="inlineStr">
        <is>
          <t>Trưởng Ban Đối Ngoại &amp; Lãnh Sự (Head of Consular)</t>
        </is>
      </c>
      <c r="E274" s="17" t="inlineStr">
        <is>
          <t>Đối Ngoại Lãnh Sự</t>
        </is>
      </c>
      <c r="F274" s="10" t="n">
        <v>70000000</v>
      </c>
      <c r="G274" s="10" t="n">
        <v>15000000</v>
      </c>
      <c r="H274" s="19" t="n">
        <v>93.7</v>
      </c>
      <c r="I274" s="10" t="n">
        <v>7192500</v>
      </c>
      <c r="J274" s="10" t="n">
        <v>32040248</v>
      </c>
      <c r="K274" s="10" t="n">
        <v>3938672</v>
      </c>
      <c r="L274" s="10" t="n">
        <v>128171420</v>
      </c>
      <c r="M274" s="10" t="n">
        <v>5146000</v>
      </c>
      <c r="N274" s="10" t="n">
        <v>105625420</v>
      </c>
      <c r="O274" s="10" t="n">
        <v>27118897</v>
      </c>
      <c r="P274" s="10" t="n">
        <v>95906523</v>
      </c>
      <c r="Q274" s="10" t="n">
        <v>10294000</v>
      </c>
      <c r="R274" s="10" t="n">
        <v>3000000</v>
      </c>
      <c r="S274" s="10" t="n">
        <v>141465420</v>
      </c>
      <c r="T274" s="10" t="n">
        <v>0</v>
      </c>
    </row>
    <row r="275">
      <c r="A275" s="17" t="inlineStr">
        <is>
          <t>2026-08</t>
        </is>
      </c>
      <c r="B275" s="17" t="inlineStr">
        <is>
          <t>EMP010</t>
        </is>
      </c>
      <c r="C275" s="18" t="inlineStr">
        <is>
          <t>Bùi Thanh Mai</t>
        </is>
      </c>
      <c r="D275" s="18" t="inlineStr">
        <is>
          <t>Trưởng Ban An Cư (Head of Settlement Operations)</t>
        </is>
      </c>
      <c r="E275" s="17" t="inlineStr">
        <is>
          <t>Vận Hành An Cư</t>
        </is>
      </c>
      <c r="F275" s="13" t="n">
        <v>65000000</v>
      </c>
      <c r="G275" s="13" t="n">
        <v>10000000</v>
      </c>
      <c r="H275" s="20" t="n">
        <v>93.90000000000001</v>
      </c>
      <c r="I275" s="13" t="n">
        <v>6776250</v>
      </c>
      <c r="J275" s="13" t="n">
        <v>6662200</v>
      </c>
      <c r="K275" s="13" t="n">
        <v>0</v>
      </c>
      <c r="L275" s="13" t="n">
        <v>88438450</v>
      </c>
      <c r="M275" s="13" t="n">
        <v>5096000</v>
      </c>
      <c r="N275" s="13" t="n">
        <v>65942450</v>
      </c>
      <c r="O275" s="13" t="n">
        <v>13932735</v>
      </c>
      <c r="P275" s="13" t="n">
        <v>69409715</v>
      </c>
      <c r="Q275" s="13" t="n">
        <v>10244000</v>
      </c>
      <c r="R275" s="13" t="n">
        <v>3000000</v>
      </c>
      <c r="S275" s="13" t="n">
        <v>101682450</v>
      </c>
      <c r="T275" s="13" t="n">
        <v>0</v>
      </c>
    </row>
    <row r="276">
      <c r="A276" s="17" t="inlineStr">
        <is>
          <t>2026-08</t>
        </is>
      </c>
      <c r="B276" s="17" t="inlineStr">
        <is>
          <t>EMP011</t>
        </is>
      </c>
      <c r="C276" s="18" t="inlineStr">
        <is>
          <t>Đặng Văn Lâm</t>
        </is>
      </c>
      <c r="D276" s="18" t="inlineStr">
        <is>
          <t>Giám Đốc Tài Chính Quốc Tế (CFO)</t>
        </is>
      </c>
      <c r="E276" s="17" t="inlineStr">
        <is>
          <t>Tài Chính &amp; Kế Toán</t>
        </is>
      </c>
      <c r="F276" s="10" t="n">
        <v>90000000</v>
      </c>
      <c r="G276" s="10" t="n">
        <v>12000000</v>
      </c>
      <c r="H276" s="19" t="n">
        <v>92.5</v>
      </c>
      <c r="I276" s="10" t="n">
        <v>8437500</v>
      </c>
      <c r="J276" s="10" t="n">
        <v>10792199</v>
      </c>
      <c r="K276" s="10" t="n">
        <v>0</v>
      </c>
      <c r="L276" s="10" t="n">
        <v>121229699</v>
      </c>
      <c r="M276" s="10" t="n">
        <v>5346000</v>
      </c>
      <c r="N276" s="10" t="n">
        <v>94083699</v>
      </c>
      <c r="O276" s="10" t="n">
        <v>23079295</v>
      </c>
      <c r="P276" s="10" t="n">
        <v>92804404</v>
      </c>
      <c r="Q276" s="10" t="n">
        <v>10494000</v>
      </c>
      <c r="R276" s="10" t="n">
        <v>3000000</v>
      </c>
      <c r="S276" s="10" t="n">
        <v>134723699</v>
      </c>
      <c r="T276" s="10" t="n">
        <v>0</v>
      </c>
    </row>
    <row r="277">
      <c r="A277" s="17" t="inlineStr">
        <is>
          <t>2026-08</t>
        </is>
      </c>
      <c r="B277" s="17" t="inlineStr">
        <is>
          <t>EMP012</t>
        </is>
      </c>
      <c r="C277" s="18" t="inlineStr">
        <is>
          <t>Võ Quỳnh Trang</t>
        </is>
      </c>
      <c r="D277" s="18" t="inlineStr">
        <is>
          <t>Giám Đốc Nhân Sự &amp; Tuân Thủ (HR &amp; Compliance Dir.)</t>
        </is>
      </c>
      <c r="E277" s="17" t="inlineStr">
        <is>
          <t>Nhân Sự &amp; Quản Trị</t>
        </is>
      </c>
      <c r="F277" s="13" t="n">
        <v>65000000</v>
      </c>
      <c r="G277" s="13" t="n">
        <v>10000000</v>
      </c>
      <c r="H277" s="20" t="n">
        <v>92.2</v>
      </c>
      <c r="I277" s="13" t="n">
        <v>5947500</v>
      </c>
      <c r="J277" s="13" t="n">
        <v>13360565</v>
      </c>
      <c r="K277" s="13" t="n">
        <v>0</v>
      </c>
      <c r="L277" s="13" t="n">
        <v>94308065</v>
      </c>
      <c r="M277" s="13" t="n">
        <v>5096000</v>
      </c>
      <c r="N277" s="13" t="n">
        <v>71812065</v>
      </c>
      <c r="O277" s="13" t="n">
        <v>15693620</v>
      </c>
      <c r="P277" s="13" t="n">
        <v>73518445</v>
      </c>
      <c r="Q277" s="13" t="n">
        <v>10244000</v>
      </c>
      <c r="R277" s="13" t="n">
        <v>3000000</v>
      </c>
      <c r="S277" s="13" t="n">
        <v>107552065</v>
      </c>
      <c r="T277" s="13" t="n">
        <v>0</v>
      </c>
    </row>
    <row r="278">
      <c r="A278" s="17" t="inlineStr">
        <is>
          <t>2026-09</t>
        </is>
      </c>
      <c r="B278" s="17" t="inlineStr">
        <is>
          <t>EMP001</t>
        </is>
      </c>
      <c r="C278" s="18" t="inlineStr">
        <is>
          <t>Nguyễn Quốc Hùng</t>
        </is>
      </c>
      <c r="D278" s="18" t="inlineStr">
        <is>
          <t>Tổng Giám Đốc (Managing Director / CEO)</t>
        </is>
      </c>
      <c r="E278" s="17" t="inlineStr">
        <is>
          <t>Điều Hành Chung</t>
        </is>
      </c>
      <c r="F278" s="10" t="n">
        <v>130000000</v>
      </c>
      <c r="G278" s="10" t="n">
        <v>25000000</v>
      </c>
      <c r="H278" s="19" t="n">
        <v>100.6</v>
      </c>
      <c r="I278" s="10" t="n">
        <v>20085000</v>
      </c>
      <c r="J278" s="10" t="n">
        <v>101802792</v>
      </c>
      <c r="K278" s="10" t="n">
        <v>0</v>
      </c>
      <c r="L278" s="10" t="n">
        <v>276887792</v>
      </c>
      <c r="M278" s="10" t="n">
        <v>5438000</v>
      </c>
      <c r="N278" s="10" t="n">
        <v>249649792</v>
      </c>
      <c r="O278" s="10" t="n">
        <v>77527427</v>
      </c>
      <c r="P278" s="10" t="n">
        <v>193922365</v>
      </c>
      <c r="Q278" s="10" t="n">
        <v>10586000</v>
      </c>
      <c r="R278" s="10" t="n">
        <v>3000000</v>
      </c>
      <c r="S278" s="10" t="n">
        <v>290473792</v>
      </c>
      <c r="T278" s="10" t="n">
        <v>12725348972</v>
      </c>
    </row>
    <row r="279">
      <c r="A279" s="17" t="inlineStr">
        <is>
          <t>2026-09</t>
        </is>
      </c>
      <c r="B279" s="17" t="inlineStr">
        <is>
          <t>EMP002</t>
        </is>
      </c>
      <c r="C279" s="18" t="inlineStr">
        <is>
          <t>Trần Minh Tuấn</t>
        </is>
      </c>
      <c r="D279" s="18" t="inlineStr">
        <is>
          <t>Phó TGĐ Kinh Doanh (Deputy CEO &amp; Head of BD)</t>
        </is>
      </c>
      <c r="E279" s="17" t="inlineStr">
        <is>
          <t>Thương Mại &amp; BD</t>
        </is>
      </c>
      <c r="F279" s="13" t="n">
        <v>105000000</v>
      </c>
      <c r="G279" s="13" t="n">
        <v>20000000</v>
      </c>
      <c r="H279" s="20" t="n">
        <v>97.8</v>
      </c>
      <c r="I279" s="13" t="n">
        <v>14017500</v>
      </c>
      <c r="J279" s="13" t="n">
        <v>121386653</v>
      </c>
      <c r="K279" s="13" t="n">
        <v>14178669</v>
      </c>
      <c r="L279" s="13" t="n">
        <v>274582822</v>
      </c>
      <c r="M279" s="13" t="n">
        <v>5438000</v>
      </c>
      <c r="N279" s="13" t="n">
        <v>247344822</v>
      </c>
      <c r="O279" s="13" t="n">
        <v>76720688</v>
      </c>
      <c r="P279" s="13" t="n">
        <v>192424134</v>
      </c>
      <c r="Q279" s="13" t="n">
        <v>10586000</v>
      </c>
      <c r="R279" s="13" t="n">
        <v>3000000</v>
      </c>
      <c r="S279" s="13" t="n">
        <v>288168822</v>
      </c>
      <c r="T279" s="13" t="n">
        <v>8271476832</v>
      </c>
    </row>
    <row r="280">
      <c r="A280" s="17" t="inlineStr">
        <is>
          <t>2026-09</t>
        </is>
      </c>
      <c r="B280" s="17" t="inlineStr">
        <is>
          <t>EMP003</t>
        </is>
      </c>
      <c r="C280" s="18" t="inlineStr">
        <is>
          <t>LS. Lê Hoàng Nam</t>
        </is>
      </c>
      <c r="D280" s="18" t="inlineStr">
        <is>
          <t>Giám Đốc Pháp Lý &amp; Thụ Lý Hồ Sơ (Legal Director)</t>
        </is>
      </c>
      <c r="E280" s="17" t="inlineStr">
        <is>
          <t>Pháp Lý Di Trú</t>
        </is>
      </c>
      <c r="F280" s="10" t="n">
        <v>95000000</v>
      </c>
      <c r="G280" s="10" t="n">
        <v>15000000</v>
      </c>
      <c r="H280" s="19" t="n">
        <v>97.5</v>
      </c>
      <c r="I280" s="10" t="n">
        <v>12468750</v>
      </c>
      <c r="J280" s="10" t="n">
        <v>63728412</v>
      </c>
      <c r="K280" s="10" t="n">
        <v>14646450</v>
      </c>
      <c r="L280" s="10" t="n">
        <v>200843612</v>
      </c>
      <c r="M280" s="10" t="n">
        <v>5396000</v>
      </c>
      <c r="N280" s="10" t="n">
        <v>178047612</v>
      </c>
      <c r="O280" s="10" t="n">
        <v>52466664</v>
      </c>
      <c r="P280" s="10" t="n">
        <v>142980948</v>
      </c>
      <c r="Q280" s="10" t="n">
        <v>10544000</v>
      </c>
      <c r="R280" s="10" t="n">
        <v>3000000</v>
      </c>
      <c r="S280" s="10" t="n">
        <v>214387612</v>
      </c>
      <c r="T280" s="10" t="n">
        <v>0</v>
      </c>
    </row>
    <row r="281">
      <c r="A281" s="17" t="inlineStr">
        <is>
          <t>2026-09</t>
        </is>
      </c>
      <c r="B281" s="17" t="inlineStr">
        <is>
          <t>EMP004</t>
        </is>
      </c>
      <c r="C281" s="18" t="inlineStr">
        <is>
          <t>Phạm Thanh Hà</t>
        </is>
      </c>
      <c r="D281" s="18" t="inlineStr">
        <is>
          <t>Giám Đốc Thẩm Định Đầu Tư (Investment DD Director)</t>
        </is>
      </c>
      <c r="E281" s="17" t="inlineStr">
        <is>
          <t>Đầu Tư &amp; Thẩm Định</t>
        </is>
      </c>
      <c r="F281" s="13" t="n">
        <v>90000000</v>
      </c>
      <c r="G281" s="13" t="n">
        <v>15000000</v>
      </c>
      <c r="H281" s="20" t="n">
        <v>107.6</v>
      </c>
      <c r="I281" s="13" t="n">
        <v>18630000</v>
      </c>
      <c r="J281" s="13" t="n">
        <v>31263376</v>
      </c>
      <c r="K281" s="13" t="n">
        <v>0</v>
      </c>
      <c r="L281" s="13" t="n">
        <v>154893376</v>
      </c>
      <c r="M281" s="13" t="n">
        <v>5346000</v>
      </c>
      <c r="N281" s="13" t="n">
        <v>132147376</v>
      </c>
      <c r="O281" s="13" t="n">
        <v>36401582</v>
      </c>
      <c r="P281" s="13" t="n">
        <v>113145794</v>
      </c>
      <c r="Q281" s="13" t="n">
        <v>10494000</v>
      </c>
      <c r="R281" s="13" t="n">
        <v>3000000</v>
      </c>
      <c r="S281" s="13" t="n">
        <v>168387376</v>
      </c>
      <c r="T281" s="13" t="n">
        <v>0</v>
      </c>
    </row>
    <row r="282">
      <c r="A282" s="17" t="inlineStr">
        <is>
          <t>2026-09</t>
        </is>
      </c>
      <c r="B282" s="17" t="inlineStr">
        <is>
          <t>EMP005</t>
        </is>
      </c>
      <c r="C282" s="18" t="inlineStr">
        <is>
          <t>Vũ Hải Đăng</t>
        </is>
      </c>
      <c r="D282" s="18" t="inlineStr">
        <is>
          <t>Giám Đốc Khách Hàng VIP (Private Clients Director)</t>
        </is>
      </c>
      <c r="E282" s="17" t="inlineStr">
        <is>
          <t>Thương Mại &amp; BD</t>
        </is>
      </c>
      <c r="F282" s="10" t="n">
        <v>85000000</v>
      </c>
      <c r="G282" s="10" t="n">
        <v>20000000</v>
      </c>
      <c r="H282" s="19" t="n">
        <v>92.09999999999999</v>
      </c>
      <c r="I282" s="10" t="n">
        <v>7713750</v>
      </c>
      <c r="J282" s="10" t="n">
        <v>100629113</v>
      </c>
      <c r="K282" s="10" t="n">
        <v>24091254</v>
      </c>
      <c r="L282" s="10" t="n">
        <v>237434117</v>
      </c>
      <c r="M282" s="10" t="n">
        <v>5296000</v>
      </c>
      <c r="N282" s="10" t="n">
        <v>214738117</v>
      </c>
      <c r="O282" s="10" t="n">
        <v>65308341</v>
      </c>
      <c r="P282" s="10" t="n">
        <v>166829776</v>
      </c>
      <c r="Q282" s="10" t="n">
        <v>10444000</v>
      </c>
      <c r="R282" s="10" t="n">
        <v>3000000</v>
      </c>
      <c r="S282" s="10" t="n">
        <v>250878117</v>
      </c>
      <c r="T282" s="10" t="n">
        <v>4453872140</v>
      </c>
    </row>
    <row r="283">
      <c r="A283" s="17" t="inlineStr">
        <is>
          <t>2026-09</t>
        </is>
      </c>
      <c r="B283" s="17" t="inlineStr">
        <is>
          <t>EMP006</t>
        </is>
      </c>
      <c r="C283" s="18" t="inlineStr">
        <is>
          <t>Đỗ Phương Thảo</t>
        </is>
      </c>
      <c r="D283" s="18" t="inlineStr">
        <is>
          <t>Giám Đốc Marketing &amp; Thương Hiệu (CMO)</t>
        </is>
      </c>
      <c r="E283" s="17" t="inlineStr">
        <is>
          <t>Tiếp Thị &amp; Brand</t>
        </is>
      </c>
      <c r="F283" s="13" t="n">
        <v>80000000</v>
      </c>
      <c r="G283" s="13" t="n">
        <v>12000000</v>
      </c>
      <c r="H283" s="20" t="n">
        <v>101.4</v>
      </c>
      <c r="I283" s="13" t="n">
        <v>12840000</v>
      </c>
      <c r="J283" s="13" t="n">
        <v>12802062</v>
      </c>
      <c r="K283" s="13" t="n">
        <v>0</v>
      </c>
      <c r="L283" s="13" t="n">
        <v>117642062</v>
      </c>
      <c r="M283" s="13" t="n">
        <v>5246000</v>
      </c>
      <c r="N283" s="13" t="n">
        <v>99396062</v>
      </c>
      <c r="O283" s="13" t="n">
        <v>24938622</v>
      </c>
      <c r="P283" s="13" t="n">
        <v>87457440</v>
      </c>
      <c r="Q283" s="13" t="n">
        <v>10394000</v>
      </c>
      <c r="R283" s="13" t="n">
        <v>3000000</v>
      </c>
      <c r="S283" s="13" t="n">
        <v>131036062</v>
      </c>
      <c r="T283" s="13" t="n">
        <v>0</v>
      </c>
    </row>
    <row r="284">
      <c r="A284" s="17" t="inlineStr">
        <is>
          <t>2026-09</t>
        </is>
      </c>
      <c r="B284" s="17" t="inlineStr">
        <is>
          <t>EMP007</t>
        </is>
      </c>
      <c r="C284" s="18" t="inlineStr">
        <is>
          <t>Hoàng Gia Bách</t>
        </is>
      </c>
      <c r="D284" s="18" t="inlineStr">
        <is>
          <t>Giám Đốc Chi Nhánh Hà Nội (Northern Regional Dir.)</t>
        </is>
      </c>
      <c r="E284" s="17" t="inlineStr">
        <is>
          <t>Khối Chi Nhánh</t>
        </is>
      </c>
      <c r="F284" s="10" t="n">
        <v>85000000</v>
      </c>
      <c r="G284" s="10" t="n">
        <v>15000000</v>
      </c>
      <c r="H284" s="19" t="n">
        <v>94.7</v>
      </c>
      <c r="I284" s="10" t="n">
        <v>9371250</v>
      </c>
      <c r="J284" s="10" t="n">
        <v>78920161</v>
      </c>
      <c r="K284" s="10" t="n">
        <v>10106245</v>
      </c>
      <c r="L284" s="10" t="n">
        <v>198397656</v>
      </c>
      <c r="M284" s="10" t="n">
        <v>5296000</v>
      </c>
      <c r="N284" s="10" t="n">
        <v>171301656</v>
      </c>
      <c r="O284" s="10" t="n">
        <v>50105580</v>
      </c>
      <c r="P284" s="10" t="n">
        <v>142996076</v>
      </c>
      <c r="Q284" s="10" t="n">
        <v>10444000</v>
      </c>
      <c r="R284" s="10" t="n">
        <v>3000000</v>
      </c>
      <c r="S284" s="10" t="n">
        <v>211841656</v>
      </c>
      <c r="T284" s="10" t="n">
        <v>4835632609</v>
      </c>
    </row>
    <row r="285">
      <c r="A285" s="17" t="inlineStr">
        <is>
          <t>2026-09</t>
        </is>
      </c>
      <c r="B285" s="17" t="inlineStr">
        <is>
          <t>EMP008</t>
        </is>
      </c>
      <c r="C285" s="18" t="inlineStr">
        <is>
          <t>Ngô Thị Bích Ngọc</t>
        </is>
      </c>
      <c r="D285" s="18" t="inlineStr">
        <is>
          <t>Giám Đốc Chi Nhánh TP.HCM (Southern Regional Dir.)</t>
        </is>
      </c>
      <c r="E285" s="17" t="inlineStr">
        <is>
          <t>Khối Chi Nhánh</t>
        </is>
      </c>
      <c r="F285" s="13" t="n">
        <v>90000000</v>
      </c>
      <c r="G285" s="13" t="n">
        <v>15000000</v>
      </c>
      <c r="H285" s="20" t="n">
        <v>95.8</v>
      </c>
      <c r="I285" s="13" t="n">
        <v>10665000</v>
      </c>
      <c r="J285" s="13" t="n">
        <v>97001965</v>
      </c>
      <c r="K285" s="13" t="n">
        <v>17086077</v>
      </c>
      <c r="L285" s="13" t="n">
        <v>229753042</v>
      </c>
      <c r="M285" s="13" t="n">
        <v>5346000</v>
      </c>
      <c r="N285" s="13" t="n">
        <v>207007042</v>
      </c>
      <c r="O285" s="13" t="n">
        <v>62602465</v>
      </c>
      <c r="P285" s="13" t="n">
        <v>161804577</v>
      </c>
      <c r="Q285" s="13" t="n">
        <v>10494000</v>
      </c>
      <c r="R285" s="13" t="n">
        <v>3000000</v>
      </c>
      <c r="S285" s="13" t="n">
        <v>243247042</v>
      </c>
      <c r="T285" s="13" t="n">
        <v>6108167507</v>
      </c>
    </row>
    <row r="286">
      <c r="A286" s="17" t="inlineStr">
        <is>
          <t>2026-09</t>
        </is>
      </c>
      <c r="B286" s="17" t="inlineStr">
        <is>
          <t>EMP009</t>
        </is>
      </c>
      <c r="C286" s="18" t="inlineStr">
        <is>
          <t>Trịnh Minh Trí</t>
        </is>
      </c>
      <c r="D286" s="18" t="inlineStr">
        <is>
          <t>Trưởng Ban Đối Ngoại &amp; Lãnh Sự (Head of Consular)</t>
        </is>
      </c>
      <c r="E286" s="17" t="inlineStr">
        <is>
          <t>Đối Ngoại Lãnh Sự</t>
        </is>
      </c>
      <c r="F286" s="10" t="n">
        <v>70000000</v>
      </c>
      <c r="G286" s="10" t="n">
        <v>15000000</v>
      </c>
      <c r="H286" s="19" t="n">
        <v>93.8</v>
      </c>
      <c r="I286" s="10" t="n">
        <v>7245000</v>
      </c>
      <c r="J286" s="10" t="n">
        <v>33730773</v>
      </c>
      <c r="K286" s="10" t="n">
        <v>6462580</v>
      </c>
      <c r="L286" s="10" t="n">
        <v>132438353</v>
      </c>
      <c r="M286" s="10" t="n">
        <v>5146000</v>
      </c>
      <c r="N286" s="10" t="n">
        <v>109892353</v>
      </c>
      <c r="O286" s="10" t="n">
        <v>28612324</v>
      </c>
      <c r="P286" s="10" t="n">
        <v>98680029</v>
      </c>
      <c r="Q286" s="10" t="n">
        <v>10294000</v>
      </c>
      <c r="R286" s="10" t="n">
        <v>3000000</v>
      </c>
      <c r="S286" s="10" t="n">
        <v>145732353</v>
      </c>
      <c r="T286" s="10" t="n">
        <v>0</v>
      </c>
    </row>
    <row r="287">
      <c r="A287" s="17" t="inlineStr">
        <is>
          <t>2026-09</t>
        </is>
      </c>
      <c r="B287" s="17" t="inlineStr">
        <is>
          <t>EMP010</t>
        </is>
      </c>
      <c r="C287" s="18" t="inlineStr">
        <is>
          <t>Bùi Thanh Mai</t>
        </is>
      </c>
      <c r="D287" s="18" t="inlineStr">
        <is>
          <t>Trưởng Ban An Cư (Head of Settlement Operations)</t>
        </is>
      </c>
      <c r="E287" s="17" t="inlineStr">
        <is>
          <t>Vận Hành An Cư</t>
        </is>
      </c>
      <c r="F287" s="13" t="n">
        <v>65000000</v>
      </c>
      <c r="G287" s="13" t="n">
        <v>10000000</v>
      </c>
      <c r="H287" s="20" t="n">
        <v>94.90000000000001</v>
      </c>
      <c r="I287" s="13" t="n">
        <v>7263750</v>
      </c>
      <c r="J287" s="13" t="n">
        <v>10489268</v>
      </c>
      <c r="K287" s="13" t="n">
        <v>0</v>
      </c>
      <c r="L287" s="13" t="n">
        <v>92753018</v>
      </c>
      <c r="M287" s="13" t="n">
        <v>5096000</v>
      </c>
      <c r="N287" s="13" t="n">
        <v>70257018</v>
      </c>
      <c r="O287" s="13" t="n">
        <v>15227105</v>
      </c>
      <c r="P287" s="13" t="n">
        <v>72429913</v>
      </c>
      <c r="Q287" s="13" t="n">
        <v>10244000</v>
      </c>
      <c r="R287" s="13" t="n">
        <v>3000000</v>
      </c>
      <c r="S287" s="13" t="n">
        <v>105997018</v>
      </c>
      <c r="T287" s="13" t="n">
        <v>0</v>
      </c>
    </row>
    <row r="288">
      <c r="A288" s="17" t="inlineStr">
        <is>
          <t>2026-09</t>
        </is>
      </c>
      <c r="B288" s="17" t="inlineStr">
        <is>
          <t>EMP011</t>
        </is>
      </c>
      <c r="C288" s="18" t="inlineStr">
        <is>
          <t>Đặng Văn Lâm</t>
        </is>
      </c>
      <c r="D288" s="18" t="inlineStr">
        <is>
          <t>Giám Đốc Tài Chính Quốc Tế (CFO)</t>
        </is>
      </c>
      <c r="E288" s="17" t="inlineStr">
        <is>
          <t>Tài Chính &amp; Kế Toán</t>
        </is>
      </c>
      <c r="F288" s="10" t="n">
        <v>90000000</v>
      </c>
      <c r="G288" s="10" t="n">
        <v>12000000</v>
      </c>
      <c r="H288" s="19" t="n">
        <v>91.7</v>
      </c>
      <c r="I288" s="10" t="n">
        <v>7897500</v>
      </c>
      <c r="J288" s="10" t="n">
        <v>13262365</v>
      </c>
      <c r="K288" s="10" t="n">
        <v>0</v>
      </c>
      <c r="L288" s="10" t="n">
        <v>123159865</v>
      </c>
      <c r="M288" s="10" t="n">
        <v>5346000</v>
      </c>
      <c r="N288" s="10" t="n">
        <v>96013865</v>
      </c>
      <c r="O288" s="10" t="n">
        <v>23754853</v>
      </c>
      <c r="P288" s="10" t="n">
        <v>94059012</v>
      </c>
      <c r="Q288" s="10" t="n">
        <v>10494000</v>
      </c>
      <c r="R288" s="10" t="n">
        <v>3000000</v>
      </c>
      <c r="S288" s="10" t="n">
        <v>136653865</v>
      </c>
      <c r="T288" s="10" t="n">
        <v>0</v>
      </c>
    </row>
    <row r="289">
      <c r="A289" s="17" t="inlineStr">
        <is>
          <t>2026-09</t>
        </is>
      </c>
      <c r="B289" s="17" t="inlineStr">
        <is>
          <t>EMP012</t>
        </is>
      </c>
      <c r="C289" s="18" t="inlineStr">
        <is>
          <t>Võ Quỳnh Trang</t>
        </is>
      </c>
      <c r="D289" s="18" t="inlineStr">
        <is>
          <t>Giám Đốc Nhân Sự &amp; Tuân Thủ (HR &amp; Compliance Dir.)</t>
        </is>
      </c>
      <c r="E289" s="17" t="inlineStr">
        <is>
          <t>Nhân Sự &amp; Quản Trị</t>
        </is>
      </c>
      <c r="F289" s="13" t="n">
        <v>65000000</v>
      </c>
      <c r="G289" s="13" t="n">
        <v>10000000</v>
      </c>
      <c r="H289" s="20" t="n">
        <v>100.8</v>
      </c>
      <c r="I289" s="13" t="n">
        <v>10140000</v>
      </c>
      <c r="J289" s="13" t="n">
        <v>5671594</v>
      </c>
      <c r="K289" s="13" t="n">
        <v>0</v>
      </c>
      <c r="L289" s="13" t="n">
        <v>90811594</v>
      </c>
      <c r="M289" s="13" t="n">
        <v>5096000</v>
      </c>
      <c r="N289" s="13" t="n">
        <v>68315594</v>
      </c>
      <c r="O289" s="13" t="n">
        <v>14644678</v>
      </c>
      <c r="P289" s="13" t="n">
        <v>71070916</v>
      </c>
      <c r="Q289" s="13" t="n">
        <v>10244000</v>
      </c>
      <c r="R289" s="13" t="n">
        <v>3000000</v>
      </c>
      <c r="S289" s="13" t="n">
        <v>104055594</v>
      </c>
      <c r="T289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2026-09-13T13:14:33Z</dcterms:created>
  <dcterms:modified xsi:type="dcterms:W3CDTF">2026-09-13T13:14:34Z</dcterms:modified>
</cp:coreProperties>
</file>