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Dữ Liệu Đã Làm Sạch" sheetId="2" state="visible" r:id="rId2"/>
    <sheet name="Kiểm Toán &amp; Bất Thườ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₫&quot;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b val="1"/>
      <color rgb="00475569"/>
      <sz val="8"/>
    </font>
    <font>
      <name val="Segoe UI"/>
      <b val="1"/>
      <color rgb="001B365D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1B365D"/>
      <sz val="9"/>
    </font>
    <font>
      <name val="Segoe UI"/>
      <color rgb="000F172A"/>
      <sz val="9"/>
    </font>
    <font>
      <name val="Segoe UI"/>
      <color rgb="0092400E"/>
      <sz val="9"/>
    </font>
    <font>
      <name val="Segoe UI"/>
      <color rgb="00991B1B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7" fillId="6" borderId="3" applyAlignment="1" pivotButton="0" quotePrefix="0" xfId="0">
      <alignment horizontal="left" vertical="center"/>
    </xf>
    <xf numFmtId="3" fontId="7" fillId="6" borderId="3" applyAlignment="1" pivotButton="0" quotePrefix="0" xfId="0">
      <alignment horizontal="right" vertical="center"/>
    </xf>
    <xf numFmtId="164" fontId="7" fillId="6" borderId="3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3" pivotButton="0" quotePrefix="0" xfId="0"/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164" fontId="10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Tổng Lương Thực Nhận Theo Phòng Ban (VND)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Dashboard'!F8</f>
            </strRef>
          </tx>
          <spPr>
            <a:ln>
              <a:prstDash val="solid"/>
            </a:ln>
          </spPr>
          <cat>
            <numRef>
              <f>'Executive Dashboard'!$A$9:$A$12</f>
            </numRef>
          </cat>
          <val>
            <numRef>
              <f>'Executive Dashboard'!$F$9:$F$12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Phòng Ban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VND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Tổng Lương Thực Nhận Theo Manager (VND)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Dashboard'!F16</f>
            </strRef>
          </tx>
          <spPr>
            <a:ln>
              <a:prstDash val="solid"/>
            </a:ln>
          </spPr>
          <cat>
            <numRef>
              <f>'Executive Dashboard'!$A$17:$A$20</f>
            </numRef>
          </cat>
          <val>
            <numRef>
              <f>'Executive Dashboard'!$F$17:$F$20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Manager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VND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15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4" customWidth="1" min="3" max="3"/>
    <col width="22" customWidth="1" min="4" max="4"/>
    <col width="22" customWidth="1" min="5" max="5"/>
    <col width="22" customWidth="1" min="6" max="6"/>
    <col width="21" customWidth="1" min="7" max="7"/>
    <col width="12" customWidth="1" min="8" max="8"/>
    <col width="23" customWidth="1" min="9" max="9"/>
    <col width="12" customWidth="1" min="10" max="10"/>
    <col width="22" customWidth="1" min="11" max="11"/>
  </cols>
  <sheetData>
    <row r="1" ht="40" customHeight="1">
      <c r="A1" s="1" t="inlineStr">
        <is>
          <t>HỆ THỐNG BÁO CÁO VẬN HÀNH &amp; HIỆU SUẤT TOÀN DOANH NGHIỆP</t>
        </is>
      </c>
    </row>
    <row r="2" ht="20" customHeight="1">
      <c r="A2" s="2" t="inlineStr">
        <is>
          <t>Kỳ phân tích: Tháng 2026-03 | Phân hệ: Operations Analytics | Trạng thái: Dữ liệu đã làm sạch &amp; kiểm toán</t>
        </is>
      </c>
    </row>
    <row r="3" ht="12" customHeight="1"/>
    <row r="4" ht="18" customHeight="1">
      <c r="A4" s="3" t="inlineStr">
        <is>
          <t>TỔNG NHÂN SỰ</t>
        </is>
      </c>
      <c r="B4" s="4" t="n"/>
      <c r="C4" s="3" t="inlineStr">
        <is>
          <t>TỔNG QUỸ LƯƠNG CƠ BẢN</t>
        </is>
      </c>
      <c r="D4" s="4" t="n"/>
      <c r="E4" s="3" t="inlineStr">
        <is>
          <t>TỔNG TIỀN THƯỞNG</t>
        </is>
      </c>
      <c r="F4" s="4" t="n"/>
      <c r="G4" s="3" t="inlineStr">
        <is>
          <t>TỔNG TIỀN PHẠT</t>
        </is>
      </c>
      <c r="H4" s="4" t="n"/>
      <c r="I4" s="3" t="inlineStr">
        <is>
          <t>TỔNG LƯƠNG THỰC NHẬN</t>
        </is>
      </c>
      <c r="J4" s="4" t="n"/>
      <c r="K4" s="3" t="inlineStr">
        <is>
          <t>THỰC NHẬN BÌNH QUÂN</t>
        </is>
      </c>
    </row>
    <row r="5" ht="28" customHeight="1">
      <c r="A5" s="5" t="n">
        <v>200</v>
      </c>
      <c r="B5" s="4" t="n"/>
      <c r="C5" s="6" t="n">
        <v>3771713639</v>
      </c>
      <c r="D5" s="4" t="n"/>
      <c r="E5" s="6" t="n">
        <v>499094030</v>
      </c>
      <c r="F5" s="4" t="n"/>
      <c r="G5" s="6" t="n">
        <v>200612662</v>
      </c>
      <c r="H5" s="4" t="n"/>
      <c r="I5" s="6" t="n">
        <v>4070195007</v>
      </c>
      <c r="J5" s="4" t="n"/>
      <c r="K5" s="6" t="n">
        <v>20350975.035</v>
      </c>
    </row>
    <row r="6" ht="14" customHeight="1"/>
    <row r="7">
      <c r="A7" s="7" t="inlineStr">
        <is>
          <t>1. TỔNG HỢP VẬN HÀNH THEO PHÒNG BAN</t>
        </is>
      </c>
    </row>
    <row r="8" ht="25" customHeight="1">
      <c r="A8" s="8" t="inlineStr">
        <is>
          <t>Phòng Ban</t>
        </is>
      </c>
      <c r="B8" s="8" t="inlineStr">
        <is>
          <t>Nhân Sự</t>
        </is>
      </c>
      <c r="C8" s="8" t="inlineStr">
        <is>
          <t>Lương Cơ Bản</t>
        </is>
      </c>
      <c r="D8" s="8" t="inlineStr">
        <is>
          <t>Thưởng</t>
        </is>
      </c>
      <c r="E8" s="8" t="inlineStr">
        <is>
          <t>Phạt</t>
        </is>
      </c>
      <c r="F8" s="8" t="inlineStr">
        <is>
          <t>Thực Nhận</t>
        </is>
      </c>
      <c r="G8" s="8" t="inlineStr">
        <is>
          <t>Tỷ Lệ Thưởng/Lương</t>
        </is>
      </c>
    </row>
    <row r="9" ht="20" customHeight="1">
      <c r="A9" s="9" t="inlineStr">
        <is>
          <t>Finance</t>
        </is>
      </c>
      <c r="B9" s="10" t="n">
        <v>50</v>
      </c>
      <c r="C9" s="11" t="n">
        <v>908342279</v>
      </c>
      <c r="D9" s="11" t="n">
        <v>108759459</v>
      </c>
      <c r="E9" s="11" t="n">
        <v>42738444</v>
      </c>
      <c r="F9" s="11" t="n">
        <v>974363294</v>
      </c>
      <c r="G9" s="12">
        <f>D9/C9</f>
        <v/>
      </c>
    </row>
    <row r="10" ht="20" customHeight="1">
      <c r="A10" s="13" t="inlineStr">
        <is>
          <t>HR</t>
        </is>
      </c>
      <c r="B10" s="14" t="n">
        <v>58</v>
      </c>
      <c r="C10" s="15" t="n">
        <v>1109114321</v>
      </c>
      <c r="D10" s="15" t="n">
        <v>157372333</v>
      </c>
      <c r="E10" s="15" t="n">
        <v>60793919</v>
      </c>
      <c r="F10" s="15" t="n">
        <v>1205692735</v>
      </c>
      <c r="G10" s="16">
        <f>D10/C10</f>
        <v/>
      </c>
    </row>
    <row r="11" ht="20" customHeight="1">
      <c r="A11" s="9" t="inlineStr">
        <is>
          <t>Operations</t>
        </is>
      </c>
      <c r="B11" s="10" t="n">
        <v>48</v>
      </c>
      <c r="C11" s="11" t="n">
        <v>936887127</v>
      </c>
      <c r="D11" s="11" t="n">
        <v>119944562</v>
      </c>
      <c r="E11" s="11" t="n">
        <v>53974493</v>
      </c>
      <c r="F11" s="11" t="n">
        <v>1002857196</v>
      </c>
      <c r="G11" s="12">
        <f>D11/C11</f>
        <v/>
      </c>
    </row>
    <row r="12" ht="20" customHeight="1">
      <c r="A12" s="13" t="inlineStr">
        <is>
          <t>Sales</t>
        </is>
      </c>
      <c r="B12" s="14" t="n">
        <v>44</v>
      </c>
      <c r="C12" s="15" t="n">
        <v>817369912</v>
      </c>
      <c r="D12" s="15" t="n">
        <v>113017676</v>
      </c>
      <c r="E12" s="15" t="n">
        <v>43105806</v>
      </c>
      <c r="F12" s="15" t="n">
        <v>887281782</v>
      </c>
      <c r="G12" s="16">
        <f>D12/C12</f>
        <v/>
      </c>
    </row>
    <row r="13" ht="22" customHeight="1">
      <c r="A13" s="17" t="inlineStr">
        <is>
          <t>TỔNG CỘNG</t>
        </is>
      </c>
      <c r="B13" s="18">
        <f>SUM(B9:B12)</f>
        <v/>
      </c>
      <c r="C13" s="19">
        <f>SUM(C9:C12)</f>
        <v/>
      </c>
      <c r="D13" s="19">
        <f>SUM(D9:D12)</f>
        <v/>
      </c>
      <c r="E13" s="19">
        <f>SUM(E9:E12)</f>
        <v/>
      </c>
      <c r="F13" s="19">
        <f>SUM(F9:F12)</f>
        <v/>
      </c>
      <c r="G13" s="20">
        <f>D13/C13</f>
        <v/>
      </c>
    </row>
    <row r="14"/>
    <row r="15">
      <c r="A15" s="7" t="inlineStr">
        <is>
          <t>2. TỔNG HỢP VẬN HÀNH THEO QUẢN LÝ (MANAGER)</t>
        </is>
      </c>
    </row>
    <row r="16" ht="25" customHeight="1">
      <c r="A16" s="21" t="inlineStr">
        <is>
          <t>Quản Lý</t>
        </is>
      </c>
      <c r="B16" s="21" t="inlineStr">
        <is>
          <t>Nhân Sự Phụ Trách</t>
        </is>
      </c>
      <c r="C16" s="21" t="inlineStr">
        <is>
          <t>Lương Cơ Bản</t>
        </is>
      </c>
      <c r="D16" s="21" t="inlineStr">
        <is>
          <t>Thưởng</t>
        </is>
      </c>
      <c r="E16" s="21" t="inlineStr">
        <is>
          <t>Phạt</t>
        </is>
      </c>
      <c r="F16" s="21" t="inlineStr">
        <is>
          <t>Thực Nhận</t>
        </is>
      </c>
      <c r="G16" s="21" t="inlineStr">
        <is>
          <t>Chi Phí TB/Nhân Sự</t>
        </is>
      </c>
    </row>
    <row r="17" ht="20" customHeight="1">
      <c r="A17" s="9" t="inlineStr">
        <is>
          <t>Manager_A</t>
        </is>
      </c>
      <c r="B17" s="10" t="n">
        <v>62</v>
      </c>
      <c r="C17" s="11" t="n">
        <v>1159186631</v>
      </c>
      <c r="D17" s="11" t="n">
        <v>159356385</v>
      </c>
      <c r="E17" s="11" t="n">
        <v>59168516</v>
      </c>
      <c r="F17" s="11" t="n">
        <v>1259374500</v>
      </c>
      <c r="G17" s="11">
        <f>F17/B17</f>
        <v/>
      </c>
    </row>
    <row r="18" ht="20" customHeight="1">
      <c r="A18" s="13" t="inlineStr">
        <is>
          <t>Manager_B</t>
        </is>
      </c>
      <c r="B18" s="14" t="n">
        <v>37</v>
      </c>
      <c r="C18" s="15" t="n">
        <v>710681754</v>
      </c>
      <c r="D18" s="15" t="n">
        <v>86680561</v>
      </c>
      <c r="E18" s="15" t="n">
        <v>37669431</v>
      </c>
      <c r="F18" s="15" t="n">
        <v>759692884</v>
      </c>
      <c r="G18" s="15">
        <f>F18/B18</f>
        <v/>
      </c>
    </row>
    <row r="19" ht="20" customHeight="1">
      <c r="A19" s="9" t="inlineStr">
        <is>
          <t>Manager_C</t>
        </is>
      </c>
      <c r="B19" s="10" t="n">
        <v>51</v>
      </c>
      <c r="C19" s="11" t="n">
        <v>1010803313</v>
      </c>
      <c r="D19" s="11" t="n">
        <v>129704785</v>
      </c>
      <c r="E19" s="11" t="n">
        <v>54318283</v>
      </c>
      <c r="F19" s="11" t="n">
        <v>1086189815</v>
      </c>
      <c r="G19" s="11">
        <f>F19/B19</f>
        <v/>
      </c>
    </row>
    <row r="20" ht="20" customHeight="1">
      <c r="A20" s="13" t="inlineStr">
        <is>
          <t>Manager_D</t>
        </is>
      </c>
      <c r="B20" s="14" t="n">
        <v>50</v>
      </c>
      <c r="C20" s="15" t="n">
        <v>891041941</v>
      </c>
      <c r="D20" s="15" t="n">
        <v>123352299</v>
      </c>
      <c r="E20" s="15" t="n">
        <v>49456432</v>
      </c>
      <c r="F20" s="15" t="n">
        <v>964937808</v>
      </c>
      <c r="G20" s="15">
        <f>F20/B20</f>
        <v/>
      </c>
    </row>
    <row r="21" ht="22" customHeight="1">
      <c r="A21" s="17" t="inlineStr">
        <is>
          <t>TỔNG CỘNG</t>
        </is>
      </c>
      <c r="B21" s="18">
        <f>SUM(B17:B20)</f>
        <v/>
      </c>
      <c r="C21" s="19">
        <f>SUM(C17:C20)</f>
        <v/>
      </c>
      <c r="D21" s="19">
        <f>SUM(D17:D20)</f>
        <v/>
      </c>
      <c r="E21" s="19">
        <f>SUM(E17:E20)</f>
        <v/>
      </c>
      <c r="F21" s="19">
        <f>SUM(F17:F20)</f>
        <v/>
      </c>
      <c r="G21" s="19">
        <f>F21/B21</f>
        <v/>
      </c>
    </row>
  </sheetData>
  <mergeCells count="12">
    <mergeCell ref="A4:B4"/>
    <mergeCell ref="G4:H4"/>
    <mergeCell ref="E4:F4"/>
    <mergeCell ref="I4:J4"/>
    <mergeCell ref="C5:D5"/>
    <mergeCell ref="A5:B5"/>
    <mergeCell ref="A2:K2"/>
    <mergeCell ref="E5:F5"/>
    <mergeCell ref="G5:H5"/>
    <mergeCell ref="I5:J5"/>
    <mergeCell ref="A1:K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5" customWidth="1" min="4" max="4"/>
    <col width="22" customWidth="1" min="5" max="5"/>
    <col width="22" customWidth="1" min="6" max="6"/>
    <col width="22" customWidth="1" min="7" max="7"/>
    <col width="24" customWidth="1" min="8" max="8"/>
    <col width="12" customWidth="1" min="9" max="9"/>
    <col width="15" customWidth="1" min="10" max="10"/>
    <col width="36" customWidth="1" min="11" max="11"/>
  </cols>
  <sheetData>
    <row r="1" ht="26" customHeight="1">
      <c r="A1" s="22" t="inlineStr">
        <is>
          <t>Mã NV</t>
        </is>
      </c>
      <c r="B1" s="22" t="inlineStr">
        <is>
          <t>Họ &amp; Tên</t>
        </is>
      </c>
      <c r="C1" s="22" t="inlineStr">
        <is>
          <t>Quản Lý</t>
        </is>
      </c>
      <c r="D1" s="22" t="inlineStr">
        <is>
          <t>Phòng Ban</t>
        </is>
      </c>
      <c r="E1" s="22" t="inlineStr">
        <is>
          <t>Lương Cơ Bản</t>
        </is>
      </c>
      <c r="F1" s="22" t="inlineStr">
        <is>
          <t>Thưởng</t>
        </is>
      </c>
      <c r="G1" s="22" t="inlineStr">
        <is>
          <t>Phạt</t>
        </is>
      </c>
      <c r="H1" s="22" t="inlineStr">
        <is>
          <t>Lương Thực Nhận</t>
        </is>
      </c>
      <c r="I1" s="22" t="inlineStr">
        <is>
          <t>Kỳ</t>
        </is>
      </c>
      <c r="J1" s="22" t="inlineStr">
        <is>
          <t>Cảnh Báo</t>
        </is>
      </c>
      <c r="K1" s="22" t="inlineStr">
        <is>
          <t>Ghi Chú</t>
        </is>
      </c>
    </row>
    <row r="2">
      <c r="A2" s="23" t="inlineStr">
        <is>
          <t>E001</t>
        </is>
      </c>
      <c r="B2" s="13" t="inlineStr">
        <is>
          <t>Employee_1</t>
        </is>
      </c>
      <c r="C2" s="23" t="inlineStr">
        <is>
          <t>Manager_B</t>
        </is>
      </c>
      <c r="D2" s="23" t="inlineStr">
        <is>
          <t>Operations</t>
        </is>
      </c>
      <c r="E2" s="15" t="n">
        <v>29672904</v>
      </c>
      <c r="F2" s="15" t="n">
        <v>4117307</v>
      </c>
      <c r="G2" s="15" t="n">
        <v>939890</v>
      </c>
      <c r="H2" s="15">
        <f>E2+F2-G2</f>
        <v/>
      </c>
      <c r="I2" s="23" t="inlineStr">
        <is>
          <t>2026-03</t>
        </is>
      </c>
      <c r="J2" s="23" t="inlineStr">
        <is>
          <t>High_Bonus</t>
        </is>
      </c>
      <c r="K2" s="13" t="inlineStr">
        <is>
          <t>Mức thưởng xuất sắc vượt trội</t>
        </is>
      </c>
    </row>
    <row r="3">
      <c r="A3" s="24" t="inlineStr">
        <is>
          <t>E002</t>
        </is>
      </c>
      <c r="B3" s="9" t="inlineStr">
        <is>
          <t>Employee_2</t>
        </is>
      </c>
      <c r="C3" s="24" t="inlineStr">
        <is>
          <t>Manager_A</t>
        </is>
      </c>
      <c r="D3" s="24" t="inlineStr">
        <is>
          <t>Sales</t>
        </is>
      </c>
      <c r="E3" s="11" t="n">
        <v>17872907</v>
      </c>
      <c r="F3" s="11" t="n">
        <v>1858885</v>
      </c>
      <c r="G3" s="11" t="n">
        <v>848090</v>
      </c>
      <c r="H3" s="11">
        <f>E3+F3-G3</f>
        <v/>
      </c>
      <c r="I3" s="24" t="inlineStr">
        <is>
          <t>2026-03</t>
        </is>
      </c>
      <c r="J3" s="24" t="inlineStr">
        <is>
          <t>Normal</t>
        </is>
      </c>
      <c r="K3" s="9" t="inlineStr">
        <is>
          <t>Hợp lệ</t>
        </is>
      </c>
    </row>
    <row r="4">
      <c r="A4" s="23" t="inlineStr">
        <is>
          <t>E003</t>
        </is>
      </c>
      <c r="B4" s="13" t="inlineStr">
        <is>
          <t>Employee_3</t>
        </is>
      </c>
      <c r="C4" s="23" t="inlineStr">
        <is>
          <t>Manager_B</t>
        </is>
      </c>
      <c r="D4" s="23" t="inlineStr">
        <is>
          <t>Finance</t>
        </is>
      </c>
      <c r="E4" s="15" t="n">
        <v>27513767</v>
      </c>
      <c r="F4" s="15" t="n">
        <v>3095567</v>
      </c>
      <c r="G4" s="15" t="n">
        <v>992499</v>
      </c>
      <c r="H4" s="15">
        <f>E4+F4-G4</f>
        <v/>
      </c>
      <c r="I4" s="23" t="inlineStr">
        <is>
          <t>2026-03</t>
        </is>
      </c>
      <c r="J4" s="23" t="inlineStr">
        <is>
          <t>Normal</t>
        </is>
      </c>
      <c r="K4" s="13" t="inlineStr">
        <is>
          <t>Hợp lệ</t>
        </is>
      </c>
    </row>
    <row r="5">
      <c r="A5" s="24" t="inlineStr">
        <is>
          <t>E004</t>
        </is>
      </c>
      <c r="B5" s="9" t="inlineStr">
        <is>
          <t>Employee_4</t>
        </is>
      </c>
      <c r="C5" s="24" t="inlineStr">
        <is>
          <t>Manager_C</t>
        </is>
      </c>
      <c r="D5" s="24" t="inlineStr">
        <is>
          <t>Operations</t>
        </is>
      </c>
      <c r="E5" s="11" t="n">
        <v>26467972</v>
      </c>
      <c r="F5" s="11" t="n">
        <v>2774878</v>
      </c>
      <c r="G5" s="11" t="n">
        <v>737800</v>
      </c>
      <c r="H5" s="11">
        <f>E5+F5-G5</f>
        <v/>
      </c>
      <c r="I5" s="24" t="inlineStr">
        <is>
          <t>2026-03</t>
        </is>
      </c>
      <c r="J5" s="24" t="inlineStr">
        <is>
          <t>Normal</t>
        </is>
      </c>
      <c r="K5" s="9" t="inlineStr">
        <is>
          <t>Hợp lệ</t>
        </is>
      </c>
    </row>
    <row r="6">
      <c r="A6" s="23" t="inlineStr">
        <is>
          <t>E005</t>
        </is>
      </c>
      <c r="B6" s="13" t="inlineStr">
        <is>
          <t>Employee_5</t>
        </is>
      </c>
      <c r="C6" s="23" t="inlineStr">
        <is>
          <t>Manager_D</t>
        </is>
      </c>
      <c r="D6" s="23" t="inlineStr">
        <is>
          <t>Finance</t>
        </is>
      </c>
      <c r="E6" s="15" t="n">
        <v>18288560</v>
      </c>
      <c r="F6" s="15" t="n">
        <v>2108926</v>
      </c>
      <c r="G6" s="15" t="n">
        <v>483473</v>
      </c>
      <c r="H6" s="15">
        <f>E6+F6-G6</f>
        <v/>
      </c>
      <c r="I6" s="23" t="inlineStr">
        <is>
          <t>2026-03</t>
        </is>
      </c>
      <c r="J6" s="23" t="inlineStr">
        <is>
          <t>Normal</t>
        </is>
      </c>
      <c r="K6" s="13" t="inlineStr">
        <is>
          <t>Hợp lệ</t>
        </is>
      </c>
    </row>
    <row r="7">
      <c r="A7" s="24" t="inlineStr">
        <is>
          <t>E006</t>
        </is>
      </c>
      <c r="B7" s="9" t="inlineStr">
        <is>
          <t>Employee_6</t>
        </is>
      </c>
      <c r="C7" s="24" t="inlineStr">
        <is>
          <t>Manager_A</t>
        </is>
      </c>
      <c r="D7" s="24" t="inlineStr">
        <is>
          <t>HR</t>
        </is>
      </c>
      <c r="E7" s="11" t="n">
        <v>18588032</v>
      </c>
      <c r="F7" s="11" t="n">
        <v>1002897</v>
      </c>
      <c r="G7" s="11" t="n">
        <v>1557934</v>
      </c>
      <c r="H7" s="11">
        <f>E7+F7-G7</f>
        <v/>
      </c>
      <c r="I7" s="24" t="inlineStr">
        <is>
          <t>2026-03</t>
        </is>
      </c>
      <c r="J7" s="24" t="inlineStr">
        <is>
          <t>High_Penalty</t>
        </is>
      </c>
      <c r="K7" s="9" t="inlineStr">
        <is>
          <t>Mức phạt vượt trần cảnh báo</t>
        </is>
      </c>
    </row>
    <row r="8">
      <c r="A8" s="23" t="inlineStr">
        <is>
          <t>E007</t>
        </is>
      </c>
      <c r="B8" s="13" t="inlineStr">
        <is>
          <t>Employee_7</t>
        </is>
      </c>
      <c r="C8" s="23" t="inlineStr">
        <is>
          <t>Manager_B</t>
        </is>
      </c>
      <c r="D8" s="23" t="inlineStr">
        <is>
          <t>HR</t>
        </is>
      </c>
      <c r="E8" s="15" t="n">
        <v>15260663</v>
      </c>
      <c r="F8" s="15" t="n">
        <v>4061752</v>
      </c>
      <c r="G8" s="15" t="n">
        <v>579861</v>
      </c>
      <c r="H8" s="15">
        <f>E8+F8-G8</f>
        <v/>
      </c>
      <c r="I8" s="23" t="inlineStr">
        <is>
          <t>2026-03</t>
        </is>
      </c>
      <c r="J8" s="23" t="inlineStr">
        <is>
          <t>High_Bonus</t>
        </is>
      </c>
      <c r="K8" s="13" t="inlineStr">
        <is>
          <t>Mức thưởng xuất sắc vượt trội</t>
        </is>
      </c>
    </row>
    <row r="9">
      <c r="A9" s="24" t="inlineStr">
        <is>
          <t>E008</t>
        </is>
      </c>
      <c r="B9" s="9" t="inlineStr">
        <is>
          <t>Employee_8</t>
        </is>
      </c>
      <c r="C9" s="24" t="inlineStr">
        <is>
          <t>Manager_C</t>
        </is>
      </c>
      <c r="D9" s="24" t="inlineStr">
        <is>
          <t>Sales</t>
        </is>
      </c>
      <c r="E9" s="11" t="n">
        <v>14513505</v>
      </c>
      <c r="F9" s="11" t="n">
        <v>2485095</v>
      </c>
      <c r="G9" s="11" t="n">
        <v>477066</v>
      </c>
      <c r="H9" s="11">
        <f>E9+F9-G9</f>
        <v/>
      </c>
      <c r="I9" s="24" t="inlineStr">
        <is>
          <t>2026-03</t>
        </is>
      </c>
      <c r="J9" s="24" t="inlineStr">
        <is>
          <t>Normal</t>
        </is>
      </c>
      <c r="K9" s="9" t="inlineStr">
        <is>
          <t>Hợp lệ</t>
        </is>
      </c>
    </row>
    <row r="10">
      <c r="A10" s="23" t="inlineStr">
        <is>
          <t>E009</t>
        </is>
      </c>
      <c r="B10" s="13" t="inlineStr">
        <is>
          <t>Employee_9</t>
        </is>
      </c>
      <c r="C10" s="23" t="inlineStr">
        <is>
          <t>Manager_C</t>
        </is>
      </c>
      <c r="D10" s="23" t="inlineStr">
        <is>
          <t>HR</t>
        </is>
      </c>
      <c r="E10" s="15" t="n">
        <v>18142417</v>
      </c>
      <c r="F10" s="15" t="n">
        <v>118685</v>
      </c>
      <c r="G10" s="15" t="n">
        <v>1484822</v>
      </c>
      <c r="H10" s="15">
        <f>E10+F10-G10</f>
        <v/>
      </c>
      <c r="I10" s="23" t="inlineStr">
        <is>
          <t>2026-03</t>
        </is>
      </c>
      <c r="J10" s="23" t="inlineStr">
        <is>
          <t>Normal</t>
        </is>
      </c>
      <c r="K10" s="13" t="inlineStr">
        <is>
          <t>Hợp lệ</t>
        </is>
      </c>
    </row>
    <row r="11">
      <c r="A11" s="24" t="inlineStr">
        <is>
          <t>E010</t>
        </is>
      </c>
      <c r="B11" s="9" t="inlineStr">
        <is>
          <t>Employee_10</t>
        </is>
      </c>
      <c r="C11" s="24" t="inlineStr">
        <is>
          <t>Manager_B</t>
        </is>
      </c>
      <c r="D11" s="24" t="inlineStr">
        <is>
          <t>Finance</t>
        </is>
      </c>
      <c r="E11" s="11" t="n">
        <v>9527253</v>
      </c>
      <c r="F11" s="11" t="n">
        <v>457397</v>
      </c>
      <c r="G11" s="11" t="n">
        <v>1160477</v>
      </c>
      <c r="H11" s="11">
        <f>E11+F11-G11</f>
        <v/>
      </c>
      <c r="I11" s="24" t="inlineStr">
        <is>
          <t>2026-03</t>
        </is>
      </c>
      <c r="J11" s="24" t="inlineStr">
        <is>
          <t>High_Penalty</t>
        </is>
      </c>
      <c r="K11" s="9" t="inlineStr">
        <is>
          <t>Mức phạt vượt trần cảnh báo</t>
        </is>
      </c>
    </row>
    <row r="12">
      <c r="A12" s="23" t="inlineStr">
        <is>
          <t>E011</t>
        </is>
      </c>
      <c r="B12" s="13" t="inlineStr">
        <is>
          <t>Employee_11</t>
        </is>
      </c>
      <c r="C12" s="23" t="inlineStr">
        <is>
          <t>Manager_C</t>
        </is>
      </c>
      <c r="D12" s="23" t="inlineStr">
        <is>
          <t>HR</t>
        </is>
      </c>
      <c r="E12" s="15" t="n">
        <v>29403353</v>
      </c>
      <c r="F12" s="15" t="n">
        <v>4117788</v>
      </c>
      <c r="G12" s="15" t="n">
        <v>215141</v>
      </c>
      <c r="H12" s="15">
        <f>E12+F12-G12</f>
        <v/>
      </c>
      <c r="I12" s="23" t="inlineStr">
        <is>
          <t>2026-03</t>
        </is>
      </c>
      <c r="J12" s="23" t="inlineStr">
        <is>
          <t>High_Bonus</t>
        </is>
      </c>
      <c r="K12" s="13" t="inlineStr">
        <is>
          <t>Mức thưởng xuất sắc vượt trội</t>
        </is>
      </c>
    </row>
    <row r="13">
      <c r="A13" s="24" t="inlineStr">
        <is>
          <t>E012</t>
        </is>
      </c>
      <c r="B13" s="9" t="inlineStr">
        <is>
          <t>Employee_12</t>
        </is>
      </c>
      <c r="C13" s="24" t="inlineStr">
        <is>
          <t>Manager_A</t>
        </is>
      </c>
      <c r="D13" s="24" t="inlineStr">
        <is>
          <t>Finance</t>
        </is>
      </c>
      <c r="E13" s="11" t="n">
        <v>23750347</v>
      </c>
      <c r="F13" s="11" t="n">
        <v>4015745</v>
      </c>
      <c r="G13" s="11" t="n">
        <v>923730</v>
      </c>
      <c r="H13" s="11">
        <f>E13+F13-G13</f>
        <v/>
      </c>
      <c r="I13" s="24" t="inlineStr">
        <is>
          <t>2026-03</t>
        </is>
      </c>
      <c r="J13" s="24" t="inlineStr">
        <is>
          <t>High_Bonus</t>
        </is>
      </c>
      <c r="K13" s="9" t="inlineStr">
        <is>
          <t>Mức thưởng xuất sắc vượt trội</t>
        </is>
      </c>
    </row>
    <row r="14">
      <c r="A14" s="23" t="inlineStr">
        <is>
          <t>E013</t>
        </is>
      </c>
      <c r="B14" s="13" t="inlineStr">
        <is>
          <t>Employee_13</t>
        </is>
      </c>
      <c r="C14" s="23" t="inlineStr">
        <is>
          <t>Manager_C</t>
        </is>
      </c>
      <c r="D14" s="23" t="inlineStr">
        <is>
          <t>HR</t>
        </is>
      </c>
      <c r="E14" s="15" t="n">
        <v>9723916</v>
      </c>
      <c r="F14" s="15" t="n">
        <v>2117942</v>
      </c>
      <c r="G14" s="15" t="n">
        <v>1973553</v>
      </c>
      <c r="H14" s="15">
        <f>E14+F14-G14</f>
        <v/>
      </c>
      <c r="I14" s="23" t="inlineStr">
        <is>
          <t>2026-03</t>
        </is>
      </c>
      <c r="J14" s="23" t="inlineStr">
        <is>
          <t>High_Penalty</t>
        </is>
      </c>
      <c r="K14" s="13" t="inlineStr">
        <is>
          <t>Mức phạt vượt trần cảnh báo</t>
        </is>
      </c>
    </row>
    <row r="15">
      <c r="A15" s="24" t="inlineStr">
        <is>
          <t>E014</t>
        </is>
      </c>
      <c r="B15" s="9" t="inlineStr">
        <is>
          <t>Employee_14</t>
        </is>
      </c>
      <c r="C15" s="24" t="inlineStr">
        <is>
          <t>Manager_D</t>
        </is>
      </c>
      <c r="D15" s="24" t="inlineStr">
        <is>
          <t>Sales</t>
        </is>
      </c>
      <c r="E15" s="11" t="n">
        <v>10192561</v>
      </c>
      <c r="F15" s="11" t="n">
        <v>3361377</v>
      </c>
      <c r="G15" s="11" t="n">
        <v>1031267</v>
      </c>
      <c r="H15" s="11">
        <f>E15+F15-G15</f>
        <v/>
      </c>
      <c r="I15" s="24" t="inlineStr">
        <is>
          <t>2026-03</t>
        </is>
      </c>
      <c r="J15" s="24" t="inlineStr">
        <is>
          <t>High_Penalty</t>
        </is>
      </c>
      <c r="K15" s="9" t="inlineStr">
        <is>
          <t>Mức phạt vượt trần cảnh báo</t>
        </is>
      </c>
    </row>
    <row r="16">
      <c r="A16" s="23" t="inlineStr">
        <is>
          <t>E015</t>
        </is>
      </c>
      <c r="B16" s="13" t="inlineStr">
        <is>
          <t>Employee_15</t>
        </is>
      </c>
      <c r="C16" s="23" t="inlineStr">
        <is>
          <t>Manager_A</t>
        </is>
      </c>
      <c r="D16" s="23" t="inlineStr">
        <is>
          <t>Sales</t>
        </is>
      </c>
      <c r="E16" s="15" t="n">
        <v>13091113</v>
      </c>
      <c r="F16" s="15" t="n">
        <v>1251560</v>
      </c>
      <c r="G16" s="15" t="n">
        <v>1701088</v>
      </c>
      <c r="H16" s="15">
        <f>E16+F16-G16</f>
        <v/>
      </c>
      <c r="I16" s="23" t="inlineStr">
        <is>
          <t>2026-03</t>
        </is>
      </c>
      <c r="J16" s="23" t="inlineStr">
        <is>
          <t>High_Penalty</t>
        </is>
      </c>
      <c r="K16" s="13" t="inlineStr">
        <is>
          <t>Mức phạt vượt trần cảnh báo</t>
        </is>
      </c>
    </row>
    <row r="17">
      <c r="A17" s="24" t="inlineStr">
        <is>
          <t>E016</t>
        </is>
      </c>
      <c r="B17" s="9" t="inlineStr">
        <is>
          <t>Employee_16</t>
        </is>
      </c>
      <c r="C17" s="24" t="inlineStr">
        <is>
          <t>Manager_C</t>
        </is>
      </c>
      <c r="D17" s="24" t="inlineStr">
        <is>
          <t>Sales</t>
        </is>
      </c>
      <c r="E17" s="11" t="n">
        <v>16327906</v>
      </c>
      <c r="F17" s="11" t="n">
        <v>993643</v>
      </c>
      <c r="G17" s="11" t="n">
        <v>1170363</v>
      </c>
      <c r="H17" s="11">
        <f>E17+F17-G17</f>
        <v/>
      </c>
      <c r="I17" s="24" t="inlineStr">
        <is>
          <t>2026-03</t>
        </is>
      </c>
      <c r="J17" s="24" t="inlineStr">
        <is>
          <t>Normal</t>
        </is>
      </c>
      <c r="K17" s="9" t="inlineStr">
        <is>
          <t>Hợp lệ</t>
        </is>
      </c>
    </row>
    <row r="18">
      <c r="A18" s="23" t="inlineStr">
        <is>
          <t>E017</t>
        </is>
      </c>
      <c r="B18" s="13" t="inlineStr">
        <is>
          <t>Employee_17</t>
        </is>
      </c>
      <c r="C18" s="23" t="inlineStr">
        <is>
          <t>Manager_D</t>
        </is>
      </c>
      <c r="D18" s="23" t="inlineStr">
        <is>
          <t>HR</t>
        </is>
      </c>
      <c r="E18" s="15" t="n">
        <v>25534624</v>
      </c>
      <c r="F18" s="15" t="n">
        <v>3190842</v>
      </c>
      <c r="G18" s="15" t="n">
        <v>944797</v>
      </c>
      <c r="H18" s="15">
        <f>E18+F18-G18</f>
        <v/>
      </c>
      <c r="I18" s="23" t="inlineStr">
        <is>
          <t>2026-03</t>
        </is>
      </c>
      <c r="J18" s="23" t="inlineStr">
        <is>
          <t>Normal</t>
        </is>
      </c>
      <c r="K18" s="13" t="inlineStr">
        <is>
          <t>Hợp lệ</t>
        </is>
      </c>
    </row>
    <row r="19">
      <c r="A19" s="24" t="inlineStr">
        <is>
          <t>E018</t>
        </is>
      </c>
      <c r="B19" s="9" t="inlineStr">
        <is>
          <t>Employee_18</t>
        </is>
      </c>
      <c r="C19" s="24" t="inlineStr">
        <is>
          <t>Manager_D</t>
        </is>
      </c>
      <c r="D19" s="24" t="inlineStr">
        <is>
          <t>Finance</t>
        </is>
      </c>
      <c r="E19" s="11" t="n">
        <v>27747626</v>
      </c>
      <c r="F19" s="11" t="n">
        <v>3597285</v>
      </c>
      <c r="G19" s="11" t="n">
        <v>640428</v>
      </c>
      <c r="H19" s="11">
        <f>E19+F19-G19</f>
        <v/>
      </c>
      <c r="I19" s="24" t="inlineStr">
        <is>
          <t>2026-03</t>
        </is>
      </c>
      <c r="J19" s="24" t="inlineStr">
        <is>
          <t>Normal</t>
        </is>
      </c>
      <c r="K19" s="9" t="inlineStr">
        <is>
          <t>Hợp lệ</t>
        </is>
      </c>
    </row>
    <row r="20">
      <c r="A20" s="23" t="inlineStr">
        <is>
          <t>E019</t>
        </is>
      </c>
      <c r="B20" s="13" t="inlineStr">
        <is>
          <t>Employee_19</t>
        </is>
      </c>
      <c r="C20" s="23" t="inlineStr">
        <is>
          <t>Manager_A</t>
        </is>
      </c>
      <c r="D20" s="23" t="inlineStr">
        <is>
          <t>Sales</t>
        </is>
      </c>
      <c r="E20" s="15" t="n">
        <v>14972205</v>
      </c>
      <c r="F20" s="15" t="n">
        <v>1770207</v>
      </c>
      <c r="G20" s="15" t="n">
        <v>555003</v>
      </c>
      <c r="H20" s="15">
        <f>E20+F20-G20</f>
        <v/>
      </c>
      <c r="I20" s="23" t="inlineStr">
        <is>
          <t>2026-03</t>
        </is>
      </c>
      <c r="J20" s="23" t="inlineStr">
        <is>
          <t>Normal</t>
        </is>
      </c>
      <c r="K20" s="13" t="inlineStr">
        <is>
          <t>Hợp lệ</t>
        </is>
      </c>
    </row>
    <row r="21">
      <c r="A21" s="24" t="inlineStr">
        <is>
          <t>E020</t>
        </is>
      </c>
      <c r="B21" s="9" t="inlineStr">
        <is>
          <t>Employee_20</t>
        </is>
      </c>
      <c r="C21" s="24" t="inlineStr">
        <is>
          <t>Manager_A</t>
        </is>
      </c>
      <c r="D21" s="24" t="inlineStr">
        <is>
          <t>HR</t>
        </is>
      </c>
      <c r="E21" s="11" t="n">
        <v>16048539</v>
      </c>
      <c r="F21" s="11" t="n">
        <v>1458053</v>
      </c>
      <c r="G21" s="11" t="n">
        <v>1157611</v>
      </c>
      <c r="H21" s="11">
        <f>E21+F21-G21</f>
        <v/>
      </c>
      <c r="I21" s="24" t="inlineStr">
        <is>
          <t>2026-03</t>
        </is>
      </c>
      <c r="J21" s="24" t="inlineStr">
        <is>
          <t>Normal</t>
        </is>
      </c>
      <c r="K21" s="9" t="inlineStr">
        <is>
          <t>Hợp lệ</t>
        </is>
      </c>
    </row>
    <row r="22">
      <c r="A22" s="23" t="inlineStr">
        <is>
          <t>E021</t>
        </is>
      </c>
      <c r="B22" s="13" t="inlineStr">
        <is>
          <t>Employee_21</t>
        </is>
      </c>
      <c r="C22" s="23" t="inlineStr">
        <is>
          <t>Manager_A</t>
        </is>
      </c>
      <c r="D22" s="23" t="inlineStr">
        <is>
          <t>HR</t>
        </is>
      </c>
      <c r="E22" s="15" t="n">
        <v>8089782</v>
      </c>
      <c r="F22" s="15" t="n">
        <v>3426893</v>
      </c>
      <c r="G22" s="15" t="n">
        <v>944774</v>
      </c>
      <c r="H22" s="15">
        <f>E22+F22-G22</f>
        <v/>
      </c>
      <c r="I22" s="23" t="inlineStr">
        <is>
          <t>2026-03</t>
        </is>
      </c>
      <c r="J22" s="23" t="inlineStr">
        <is>
          <t>High_Penalty</t>
        </is>
      </c>
      <c r="K22" s="13" t="inlineStr">
        <is>
          <t>Mức phạt vượt trần cảnh báo</t>
        </is>
      </c>
    </row>
    <row r="23">
      <c r="A23" s="24" t="inlineStr">
        <is>
          <t>E022</t>
        </is>
      </c>
      <c r="B23" s="9" t="inlineStr">
        <is>
          <t>Employee_22</t>
        </is>
      </c>
      <c r="C23" s="24" t="inlineStr">
        <is>
          <t>Manager_D</t>
        </is>
      </c>
      <c r="D23" s="24" t="inlineStr">
        <is>
          <t>Finance</t>
        </is>
      </c>
      <c r="E23" s="11" t="n">
        <v>9095211</v>
      </c>
      <c r="F23" s="11" t="n">
        <v>1941763</v>
      </c>
      <c r="G23" s="11" t="n">
        <v>604199</v>
      </c>
      <c r="H23" s="11">
        <f>E23+F23-G23</f>
        <v/>
      </c>
      <c r="I23" s="24" t="inlineStr">
        <is>
          <t>2026-03</t>
        </is>
      </c>
      <c r="J23" s="24" t="inlineStr">
        <is>
          <t>Normal</t>
        </is>
      </c>
      <c r="K23" s="9" t="inlineStr">
        <is>
          <t>Hợp lệ</t>
        </is>
      </c>
    </row>
    <row r="24">
      <c r="A24" s="23" t="inlineStr">
        <is>
          <t>E023</t>
        </is>
      </c>
      <c r="B24" s="13" t="inlineStr">
        <is>
          <t>Employee_23</t>
        </is>
      </c>
      <c r="C24" s="23" t="inlineStr">
        <is>
          <t>Manager_C</t>
        </is>
      </c>
      <c r="D24" s="23" t="inlineStr">
        <is>
          <t>Operations</t>
        </is>
      </c>
      <c r="E24" s="15" t="n">
        <v>10388396</v>
      </c>
      <c r="F24" s="15" t="n">
        <v>1958100</v>
      </c>
      <c r="G24" s="15" t="n">
        <v>1937581</v>
      </c>
      <c r="H24" s="15">
        <f>E24+F24-G24</f>
        <v/>
      </c>
      <c r="I24" s="23" t="inlineStr">
        <is>
          <t>2026-03</t>
        </is>
      </c>
      <c r="J24" s="23" t="inlineStr">
        <is>
          <t>High_Penalty</t>
        </is>
      </c>
      <c r="K24" s="13" t="inlineStr">
        <is>
          <t>Mức phạt vượt trần cảnh báo</t>
        </is>
      </c>
    </row>
    <row r="25">
      <c r="A25" s="24" t="inlineStr">
        <is>
          <t>E024</t>
        </is>
      </c>
      <c r="B25" s="9" t="inlineStr">
        <is>
          <t>Employee_24</t>
        </is>
      </c>
      <c r="C25" s="24" t="inlineStr">
        <is>
          <t>Manager_C</t>
        </is>
      </c>
      <c r="D25" s="24" t="inlineStr">
        <is>
          <t>HR</t>
        </is>
      </c>
      <c r="E25" s="11" t="n">
        <v>22265296</v>
      </c>
      <c r="F25" s="11" t="n">
        <v>962813</v>
      </c>
      <c r="G25" s="11" t="n">
        <v>1142030</v>
      </c>
      <c r="H25" s="11">
        <f>E25+F25-G25</f>
        <v/>
      </c>
      <c r="I25" s="24" t="inlineStr">
        <is>
          <t>2026-03</t>
        </is>
      </c>
      <c r="J25" s="24" t="inlineStr">
        <is>
          <t>Normal</t>
        </is>
      </c>
      <c r="K25" s="9" t="inlineStr">
        <is>
          <t>Hợp lệ</t>
        </is>
      </c>
    </row>
    <row r="26">
      <c r="A26" s="23" t="inlineStr">
        <is>
          <t>E025</t>
        </is>
      </c>
      <c r="B26" s="13" t="inlineStr">
        <is>
          <t>Employee_25</t>
        </is>
      </c>
      <c r="C26" s="23" t="inlineStr">
        <is>
          <t>Manager_B</t>
        </is>
      </c>
      <c r="D26" s="23" t="inlineStr">
        <is>
          <t>HR</t>
        </is>
      </c>
      <c r="E26" s="15" t="n">
        <v>16913146</v>
      </c>
      <c r="F26" s="15" t="n">
        <v>1193164</v>
      </c>
      <c r="G26" s="15" t="n">
        <v>149757</v>
      </c>
      <c r="H26" s="15">
        <f>E26+F26-G26</f>
        <v/>
      </c>
      <c r="I26" s="23" t="inlineStr">
        <is>
          <t>2026-03</t>
        </is>
      </c>
      <c r="J26" s="23" t="inlineStr">
        <is>
          <t>Normal</t>
        </is>
      </c>
      <c r="K26" s="13" t="inlineStr">
        <is>
          <t>Hợp lệ</t>
        </is>
      </c>
    </row>
    <row r="27">
      <c r="A27" s="24" t="inlineStr">
        <is>
          <t>E026</t>
        </is>
      </c>
      <c r="B27" s="9" t="inlineStr">
        <is>
          <t>Employee_26</t>
        </is>
      </c>
      <c r="C27" s="24" t="inlineStr">
        <is>
          <t>Manager_A</t>
        </is>
      </c>
      <c r="D27" s="24" t="inlineStr">
        <is>
          <t>HR</t>
        </is>
      </c>
      <c r="E27" s="11" t="n">
        <v>18321739</v>
      </c>
      <c r="F27" s="11" t="n">
        <v>4991591</v>
      </c>
      <c r="G27" s="11" t="n">
        <v>1570678</v>
      </c>
      <c r="H27" s="11">
        <f>E27+F27-G27</f>
        <v/>
      </c>
      <c r="I27" s="24" t="inlineStr">
        <is>
          <t>2026-03</t>
        </is>
      </c>
      <c r="J27" s="24" t="inlineStr">
        <is>
          <t>Dual_Anomaly</t>
        </is>
      </c>
      <c r="K27" s="9" t="inlineStr">
        <is>
          <t>Thưởng và Phạt đều cao bất thường</t>
        </is>
      </c>
    </row>
    <row r="28">
      <c r="A28" s="23" t="inlineStr">
        <is>
          <t>E027</t>
        </is>
      </c>
      <c r="B28" s="13" t="inlineStr">
        <is>
          <t>Employee_27</t>
        </is>
      </c>
      <c r="C28" s="23" t="inlineStr">
        <is>
          <t>Manager_C</t>
        </is>
      </c>
      <c r="D28" s="23" t="inlineStr">
        <is>
          <t>Operations</t>
        </is>
      </c>
      <c r="E28" s="15" t="n">
        <v>12172616</v>
      </c>
      <c r="F28" s="15" t="n">
        <v>3931723</v>
      </c>
      <c r="G28" s="15" t="n">
        <v>1444262</v>
      </c>
      <c r="H28" s="15">
        <f>E28+F28-G28</f>
        <v/>
      </c>
      <c r="I28" s="23" t="inlineStr">
        <is>
          <t>2026-03</t>
        </is>
      </c>
      <c r="J28" s="23" t="inlineStr">
        <is>
          <t>High_Penalty</t>
        </is>
      </c>
      <c r="K28" s="13" t="inlineStr">
        <is>
          <t>Mức phạt vượt trần cảnh báo</t>
        </is>
      </c>
    </row>
    <row r="29">
      <c r="A29" s="24" t="inlineStr">
        <is>
          <t>E028</t>
        </is>
      </c>
      <c r="B29" s="9" t="inlineStr">
        <is>
          <t>Employee_28</t>
        </is>
      </c>
      <c r="C29" s="24" t="inlineStr">
        <is>
          <t>Manager_C</t>
        </is>
      </c>
      <c r="D29" s="24" t="inlineStr">
        <is>
          <t>Operations</t>
        </is>
      </c>
      <c r="E29" s="11" t="n">
        <v>17135066</v>
      </c>
      <c r="F29" s="11" t="n">
        <v>4198264</v>
      </c>
      <c r="G29" s="11" t="n">
        <v>1132423</v>
      </c>
      <c r="H29" s="11">
        <f>E29+F29-G29</f>
        <v/>
      </c>
      <c r="I29" s="24" t="inlineStr">
        <is>
          <t>2026-03</t>
        </is>
      </c>
      <c r="J29" s="24" t="inlineStr">
        <is>
          <t>High_Bonus</t>
        </is>
      </c>
      <c r="K29" s="9" t="inlineStr">
        <is>
          <t>Mức thưởng xuất sắc vượt trội</t>
        </is>
      </c>
    </row>
    <row r="30">
      <c r="A30" s="23" t="inlineStr">
        <is>
          <t>E029</t>
        </is>
      </c>
      <c r="B30" s="13" t="inlineStr">
        <is>
          <t>Employee_29</t>
        </is>
      </c>
      <c r="C30" s="23" t="inlineStr">
        <is>
          <t>Manager_D</t>
        </is>
      </c>
      <c r="D30" s="23" t="inlineStr">
        <is>
          <t>Operations</t>
        </is>
      </c>
      <c r="E30" s="15" t="n">
        <v>10699180</v>
      </c>
      <c r="F30" s="15" t="n">
        <v>334376</v>
      </c>
      <c r="G30" s="15" t="n">
        <v>1865254</v>
      </c>
      <c r="H30" s="15">
        <f>E30+F30-G30</f>
        <v/>
      </c>
      <c r="I30" s="23" t="inlineStr">
        <is>
          <t>2026-03</t>
        </is>
      </c>
      <c r="J30" s="23" t="inlineStr">
        <is>
          <t>High_Penalty</t>
        </is>
      </c>
      <c r="K30" s="13" t="inlineStr">
        <is>
          <t>Mức phạt vượt trần cảnh báo</t>
        </is>
      </c>
    </row>
    <row r="31">
      <c r="A31" s="24" t="inlineStr">
        <is>
          <t>E030</t>
        </is>
      </c>
      <c r="B31" s="9" t="inlineStr">
        <is>
          <t>Employee_30</t>
        </is>
      </c>
      <c r="C31" s="24" t="inlineStr">
        <is>
          <t>Manager_D</t>
        </is>
      </c>
      <c r="D31" s="24" t="inlineStr">
        <is>
          <t>Finance</t>
        </is>
      </c>
      <c r="E31" s="11" t="n">
        <v>28257268</v>
      </c>
      <c r="F31" s="11" t="n">
        <v>2100238</v>
      </c>
      <c r="G31" s="11" t="n">
        <v>54242</v>
      </c>
      <c r="H31" s="11">
        <f>E31+F31-G31</f>
        <v/>
      </c>
      <c r="I31" s="24" t="inlineStr">
        <is>
          <t>2026-03</t>
        </is>
      </c>
      <c r="J31" s="24" t="inlineStr">
        <is>
          <t>Normal</t>
        </is>
      </c>
      <c r="K31" s="9" t="inlineStr">
        <is>
          <t>Hợp lệ</t>
        </is>
      </c>
    </row>
    <row r="32">
      <c r="A32" s="23" t="inlineStr">
        <is>
          <t>E031</t>
        </is>
      </c>
      <c r="B32" s="13" t="inlineStr">
        <is>
          <t>Employee_31</t>
        </is>
      </c>
      <c r="C32" s="23" t="inlineStr">
        <is>
          <t>Manager_A</t>
        </is>
      </c>
      <c r="D32" s="23" t="inlineStr">
        <is>
          <t>HR</t>
        </is>
      </c>
      <c r="E32" s="15" t="n">
        <v>27300479</v>
      </c>
      <c r="F32" s="15" t="n">
        <v>4925144</v>
      </c>
      <c r="G32" s="15" t="n">
        <v>1993943</v>
      </c>
      <c r="H32" s="15">
        <f>E32+F32-G32</f>
        <v/>
      </c>
      <c r="I32" s="23" t="inlineStr">
        <is>
          <t>2026-03</t>
        </is>
      </c>
      <c r="J32" s="23" t="inlineStr">
        <is>
          <t>Dual_Anomaly</t>
        </is>
      </c>
      <c r="K32" s="13" t="inlineStr">
        <is>
          <t>Thưởng và Phạt đều cao bất thường</t>
        </is>
      </c>
    </row>
    <row r="33">
      <c r="A33" s="24" t="inlineStr">
        <is>
          <t>E032</t>
        </is>
      </c>
      <c r="B33" s="9" t="inlineStr">
        <is>
          <t>Employee_32</t>
        </is>
      </c>
      <c r="C33" s="24" t="inlineStr">
        <is>
          <t>Manager_A</t>
        </is>
      </c>
      <c r="D33" s="24" t="inlineStr">
        <is>
          <t>Finance</t>
        </is>
      </c>
      <c r="E33" s="11" t="n">
        <v>27335640</v>
      </c>
      <c r="F33" s="11" t="n">
        <v>337487</v>
      </c>
      <c r="G33" s="11" t="n">
        <v>1600355</v>
      </c>
      <c r="H33" s="11">
        <f>E33+F33-G33</f>
        <v/>
      </c>
      <c r="I33" s="24" t="inlineStr">
        <is>
          <t>2026-03</t>
        </is>
      </c>
      <c r="J33" s="24" t="inlineStr">
        <is>
          <t>High_Penalty</t>
        </is>
      </c>
      <c r="K33" s="9" t="inlineStr">
        <is>
          <t>Mức phạt vượt trần cảnh báo</t>
        </is>
      </c>
    </row>
    <row r="34">
      <c r="A34" s="23" t="inlineStr">
        <is>
          <t>E033</t>
        </is>
      </c>
      <c r="B34" s="13" t="inlineStr">
        <is>
          <t>Employee_33</t>
        </is>
      </c>
      <c r="C34" s="23" t="inlineStr">
        <is>
          <t>Manager_B</t>
        </is>
      </c>
      <c r="D34" s="23" t="inlineStr">
        <is>
          <t>Operations</t>
        </is>
      </c>
      <c r="E34" s="15" t="n">
        <v>25413536</v>
      </c>
      <c r="F34" s="15" t="n">
        <v>3709689</v>
      </c>
      <c r="G34" s="15" t="n">
        <v>1921143</v>
      </c>
      <c r="H34" s="15">
        <f>E34+F34-G34</f>
        <v/>
      </c>
      <c r="I34" s="23" t="inlineStr">
        <is>
          <t>2026-03</t>
        </is>
      </c>
      <c r="J34" s="23" t="inlineStr">
        <is>
          <t>High_Penalty</t>
        </is>
      </c>
      <c r="K34" s="13" t="inlineStr">
        <is>
          <t>Mức phạt vượt trần cảnh báo</t>
        </is>
      </c>
    </row>
    <row r="35">
      <c r="A35" s="24" t="inlineStr">
        <is>
          <t>E034</t>
        </is>
      </c>
      <c r="B35" s="9" t="inlineStr">
        <is>
          <t>Employee_34</t>
        </is>
      </c>
      <c r="C35" s="24" t="inlineStr">
        <is>
          <t>Manager_C</t>
        </is>
      </c>
      <c r="D35" s="24" t="inlineStr">
        <is>
          <t>HR</t>
        </is>
      </c>
      <c r="E35" s="11" t="n">
        <v>27640403</v>
      </c>
      <c r="F35" s="11" t="n">
        <v>3656468</v>
      </c>
      <c r="G35" s="11" t="n">
        <v>1331240</v>
      </c>
      <c r="H35" s="11">
        <f>E35+F35-G35</f>
        <v/>
      </c>
      <c r="I35" s="24" t="inlineStr">
        <is>
          <t>2026-03</t>
        </is>
      </c>
      <c r="J35" s="24" t="inlineStr">
        <is>
          <t>Normal</t>
        </is>
      </c>
      <c r="K35" s="9" t="inlineStr">
        <is>
          <t>Hợp lệ</t>
        </is>
      </c>
    </row>
    <row r="36">
      <c r="A36" s="23" t="inlineStr">
        <is>
          <t>E035</t>
        </is>
      </c>
      <c r="B36" s="13" t="inlineStr">
        <is>
          <t>Employee_35</t>
        </is>
      </c>
      <c r="C36" s="23" t="inlineStr">
        <is>
          <t>Manager_D</t>
        </is>
      </c>
      <c r="D36" s="23" t="inlineStr">
        <is>
          <t>Sales</t>
        </is>
      </c>
      <c r="E36" s="15" t="n">
        <v>23770931</v>
      </c>
      <c r="F36" s="15" t="n">
        <v>2918908</v>
      </c>
      <c r="G36" s="15" t="n">
        <v>856368</v>
      </c>
      <c r="H36" s="15">
        <f>E36+F36-G36</f>
        <v/>
      </c>
      <c r="I36" s="23" t="inlineStr">
        <is>
          <t>2026-03</t>
        </is>
      </c>
      <c r="J36" s="23" t="inlineStr">
        <is>
          <t>Normal</t>
        </is>
      </c>
      <c r="K36" s="13" t="inlineStr">
        <is>
          <t>Hợp lệ</t>
        </is>
      </c>
    </row>
    <row r="37">
      <c r="A37" s="24" t="inlineStr">
        <is>
          <t>E036</t>
        </is>
      </c>
      <c r="B37" s="9" t="inlineStr">
        <is>
          <t>Employee_36</t>
        </is>
      </c>
      <c r="C37" s="24" t="inlineStr">
        <is>
          <t>Manager_C</t>
        </is>
      </c>
      <c r="D37" s="24" t="inlineStr">
        <is>
          <t>Finance</t>
        </is>
      </c>
      <c r="E37" s="11" t="n">
        <v>11509789</v>
      </c>
      <c r="F37" s="11" t="n">
        <v>1349096</v>
      </c>
      <c r="G37" s="11" t="n">
        <v>691648</v>
      </c>
      <c r="H37" s="11">
        <f>E37+F37-G37</f>
        <v/>
      </c>
      <c r="I37" s="24" t="inlineStr">
        <is>
          <t>2026-03</t>
        </is>
      </c>
      <c r="J37" s="24" t="inlineStr">
        <is>
          <t>Normal</t>
        </is>
      </c>
      <c r="K37" s="9" t="inlineStr">
        <is>
          <t>Hợp lệ</t>
        </is>
      </c>
    </row>
    <row r="38">
      <c r="A38" s="23" t="inlineStr">
        <is>
          <t>E037</t>
        </is>
      </c>
      <c r="B38" s="13" t="inlineStr">
        <is>
          <t>Employee_37</t>
        </is>
      </c>
      <c r="C38" s="23" t="inlineStr">
        <is>
          <t>Manager_D</t>
        </is>
      </c>
      <c r="D38" s="23" t="inlineStr">
        <is>
          <t>Operations</t>
        </is>
      </c>
      <c r="E38" s="15" t="n">
        <v>17670984</v>
      </c>
      <c r="F38" s="15" t="n">
        <v>3359236</v>
      </c>
      <c r="G38" s="15" t="n">
        <v>1706171</v>
      </c>
      <c r="H38" s="15">
        <f>E38+F38-G38</f>
        <v/>
      </c>
      <c r="I38" s="23" t="inlineStr">
        <is>
          <t>2026-03</t>
        </is>
      </c>
      <c r="J38" s="23" t="inlineStr">
        <is>
          <t>High_Penalty</t>
        </is>
      </c>
      <c r="K38" s="13" t="inlineStr">
        <is>
          <t>Mức phạt vượt trần cảnh báo</t>
        </is>
      </c>
    </row>
    <row r="39">
      <c r="A39" s="24" t="inlineStr">
        <is>
          <t>E038</t>
        </is>
      </c>
      <c r="B39" s="9" t="inlineStr">
        <is>
          <t>Employee_38</t>
        </is>
      </c>
      <c r="C39" s="24" t="inlineStr">
        <is>
          <t>Manager_A</t>
        </is>
      </c>
      <c r="D39" s="24" t="inlineStr">
        <is>
          <t>Operations</t>
        </is>
      </c>
      <c r="E39" s="11" t="n">
        <v>10954796</v>
      </c>
      <c r="F39" s="11" t="n">
        <v>2638361</v>
      </c>
      <c r="G39" s="11" t="n">
        <v>529318</v>
      </c>
      <c r="H39" s="11">
        <f>E39+F39-G39</f>
        <v/>
      </c>
      <c r="I39" s="24" t="inlineStr">
        <is>
          <t>2026-03</t>
        </is>
      </c>
      <c r="J39" s="24" t="inlineStr">
        <is>
          <t>Normal</t>
        </is>
      </c>
      <c r="K39" s="9" t="inlineStr">
        <is>
          <t>Hợp lệ</t>
        </is>
      </c>
    </row>
    <row r="40">
      <c r="A40" s="23" t="inlineStr">
        <is>
          <t>E039</t>
        </is>
      </c>
      <c r="B40" s="13" t="inlineStr">
        <is>
          <t>Employee_39</t>
        </is>
      </c>
      <c r="C40" s="23" t="inlineStr">
        <is>
          <t>Manager_C</t>
        </is>
      </c>
      <c r="D40" s="23" t="inlineStr">
        <is>
          <t>Sales</t>
        </is>
      </c>
      <c r="E40" s="15" t="n">
        <v>21561864</v>
      </c>
      <c r="F40" s="15" t="n">
        <v>4316746</v>
      </c>
      <c r="G40" s="15" t="n">
        <v>1729997</v>
      </c>
      <c r="H40" s="15">
        <f>E40+F40-G40</f>
        <v/>
      </c>
      <c r="I40" s="23" t="inlineStr">
        <is>
          <t>2026-03</t>
        </is>
      </c>
      <c r="J40" s="23" t="inlineStr">
        <is>
          <t>Dual_Anomaly</t>
        </is>
      </c>
      <c r="K40" s="13" t="inlineStr">
        <is>
          <t>Thưởng và Phạt đều cao bất thường</t>
        </is>
      </c>
    </row>
    <row r="41">
      <c r="A41" s="24" t="inlineStr">
        <is>
          <t>E040</t>
        </is>
      </c>
      <c r="B41" s="9" t="inlineStr">
        <is>
          <t>Employee_40</t>
        </is>
      </c>
      <c r="C41" s="24" t="inlineStr">
        <is>
          <t>Manager_A</t>
        </is>
      </c>
      <c r="D41" s="24" t="inlineStr">
        <is>
          <t>Operations</t>
        </is>
      </c>
      <c r="E41" s="11" t="n">
        <v>21866287</v>
      </c>
      <c r="F41" s="11" t="n">
        <v>454696</v>
      </c>
      <c r="G41" s="11" t="n">
        <v>393389</v>
      </c>
      <c r="H41" s="11">
        <f>E41+F41-G41</f>
        <v/>
      </c>
      <c r="I41" s="24" t="inlineStr">
        <is>
          <t>2026-03</t>
        </is>
      </c>
      <c r="J41" s="24" t="inlineStr">
        <is>
          <t>Normal</t>
        </is>
      </c>
      <c r="K41" s="9" t="inlineStr">
        <is>
          <t>Hợp lệ</t>
        </is>
      </c>
    </row>
    <row r="42">
      <c r="A42" s="23" t="inlineStr">
        <is>
          <t>E041</t>
        </is>
      </c>
      <c r="B42" s="13" t="inlineStr">
        <is>
          <t>Employee_41</t>
        </is>
      </c>
      <c r="C42" s="23" t="inlineStr">
        <is>
          <t>Manager_C</t>
        </is>
      </c>
      <c r="D42" s="23" t="inlineStr">
        <is>
          <t>Operations</t>
        </is>
      </c>
      <c r="E42" s="15" t="n">
        <v>28985235</v>
      </c>
      <c r="F42" s="15" t="n">
        <v>3708108</v>
      </c>
      <c r="G42" s="15" t="n">
        <v>1593815</v>
      </c>
      <c r="H42" s="15">
        <f>E42+F42-G42</f>
        <v/>
      </c>
      <c r="I42" s="23" t="inlineStr">
        <is>
          <t>2026-03</t>
        </is>
      </c>
      <c r="J42" s="23" t="inlineStr">
        <is>
          <t>High_Penalty</t>
        </is>
      </c>
      <c r="K42" s="13" t="inlineStr">
        <is>
          <t>Mức phạt vượt trần cảnh báo</t>
        </is>
      </c>
    </row>
    <row r="43">
      <c r="A43" s="24" t="inlineStr">
        <is>
          <t>E042</t>
        </is>
      </c>
      <c r="B43" s="9" t="inlineStr">
        <is>
          <t>Employee_42</t>
        </is>
      </c>
      <c r="C43" s="24" t="inlineStr">
        <is>
          <t>Manager_A</t>
        </is>
      </c>
      <c r="D43" s="24" t="inlineStr">
        <is>
          <t>HR</t>
        </is>
      </c>
      <c r="E43" s="11" t="n">
        <v>16960920</v>
      </c>
      <c r="F43" s="11" t="n">
        <v>4607188</v>
      </c>
      <c r="G43" s="11" t="n">
        <v>274754</v>
      </c>
      <c r="H43" s="11">
        <f>E43+F43-G43</f>
        <v/>
      </c>
      <c r="I43" s="24" t="inlineStr">
        <is>
          <t>2026-03</t>
        </is>
      </c>
      <c r="J43" s="24" t="inlineStr">
        <is>
          <t>High_Bonus</t>
        </is>
      </c>
      <c r="K43" s="9" t="inlineStr">
        <is>
          <t>Mức thưởng xuất sắc vượt trội</t>
        </is>
      </c>
    </row>
    <row r="44">
      <c r="A44" s="23" t="inlineStr">
        <is>
          <t>E043</t>
        </is>
      </c>
      <c r="B44" s="13" t="inlineStr">
        <is>
          <t>Employee_43</t>
        </is>
      </c>
      <c r="C44" s="23" t="inlineStr">
        <is>
          <t>Manager_C</t>
        </is>
      </c>
      <c r="D44" s="23" t="inlineStr">
        <is>
          <t>Operations</t>
        </is>
      </c>
      <c r="E44" s="15" t="n">
        <v>24264229</v>
      </c>
      <c r="F44" s="15" t="n">
        <v>1018595</v>
      </c>
      <c r="G44" s="15" t="n">
        <v>60543</v>
      </c>
      <c r="H44" s="15">
        <f>E44+F44-G44</f>
        <v/>
      </c>
      <c r="I44" s="23" t="inlineStr">
        <is>
          <t>2026-03</t>
        </is>
      </c>
      <c r="J44" s="23" t="inlineStr">
        <is>
          <t>Normal</t>
        </is>
      </c>
      <c r="K44" s="13" t="inlineStr">
        <is>
          <t>Hợp lệ</t>
        </is>
      </c>
    </row>
    <row r="45">
      <c r="A45" s="24" t="inlineStr">
        <is>
          <t>E044</t>
        </is>
      </c>
      <c r="B45" s="9" t="inlineStr">
        <is>
          <t>Employee_44</t>
        </is>
      </c>
      <c r="C45" s="24" t="inlineStr">
        <is>
          <t>Manager_B</t>
        </is>
      </c>
      <c r="D45" s="24" t="inlineStr">
        <is>
          <t>HR</t>
        </is>
      </c>
      <c r="E45" s="11" t="n">
        <v>18427044</v>
      </c>
      <c r="F45" s="11" t="n">
        <v>4620772</v>
      </c>
      <c r="G45" s="11" t="n">
        <v>28677</v>
      </c>
      <c r="H45" s="11">
        <f>E45+F45-G45</f>
        <v/>
      </c>
      <c r="I45" s="24" t="inlineStr">
        <is>
          <t>2026-03</t>
        </is>
      </c>
      <c r="J45" s="24" t="inlineStr">
        <is>
          <t>High_Bonus</t>
        </is>
      </c>
      <c r="K45" s="9" t="inlineStr">
        <is>
          <t>Mức thưởng xuất sắc vượt trội</t>
        </is>
      </c>
    </row>
    <row r="46">
      <c r="A46" s="23" t="inlineStr">
        <is>
          <t>E045</t>
        </is>
      </c>
      <c r="B46" s="13" t="inlineStr">
        <is>
          <t>Employee_45</t>
        </is>
      </c>
      <c r="C46" s="23" t="inlineStr">
        <is>
          <t>Manager_D</t>
        </is>
      </c>
      <c r="D46" s="23" t="inlineStr">
        <is>
          <t>Sales</t>
        </is>
      </c>
      <c r="E46" s="15" t="n">
        <v>15539702</v>
      </c>
      <c r="F46" s="15" t="n">
        <v>951780</v>
      </c>
      <c r="G46" s="15" t="n">
        <v>967726</v>
      </c>
      <c r="H46" s="15">
        <f>E46+F46-G46</f>
        <v/>
      </c>
      <c r="I46" s="23" t="inlineStr">
        <is>
          <t>2026-03</t>
        </is>
      </c>
      <c r="J46" s="23" t="inlineStr">
        <is>
          <t>Normal</t>
        </is>
      </c>
      <c r="K46" s="13" t="inlineStr">
        <is>
          <t>Hợp lệ</t>
        </is>
      </c>
    </row>
    <row r="47">
      <c r="A47" s="24" t="inlineStr">
        <is>
          <t>E046</t>
        </is>
      </c>
      <c r="B47" s="9" t="inlineStr">
        <is>
          <t>Employee_46</t>
        </is>
      </c>
      <c r="C47" s="24" t="inlineStr">
        <is>
          <t>Manager_A</t>
        </is>
      </c>
      <c r="D47" s="24" t="inlineStr">
        <is>
          <t>HR</t>
        </is>
      </c>
      <c r="E47" s="11" t="n">
        <v>24722706</v>
      </c>
      <c r="F47" s="11" t="n">
        <v>2448312</v>
      </c>
      <c r="G47" s="11" t="n">
        <v>1067181</v>
      </c>
      <c r="H47" s="11">
        <f>E47+F47-G47</f>
        <v/>
      </c>
      <c r="I47" s="24" t="inlineStr">
        <is>
          <t>2026-03</t>
        </is>
      </c>
      <c r="J47" s="24" t="inlineStr">
        <is>
          <t>Normal</t>
        </is>
      </c>
      <c r="K47" s="9" t="inlineStr">
        <is>
          <t>Hợp lệ</t>
        </is>
      </c>
    </row>
    <row r="48">
      <c r="A48" s="23" t="inlineStr">
        <is>
          <t>E047</t>
        </is>
      </c>
      <c r="B48" s="13" t="inlineStr">
        <is>
          <t>Employee_47</t>
        </is>
      </c>
      <c r="C48" s="23" t="inlineStr">
        <is>
          <t>Manager_C</t>
        </is>
      </c>
      <c r="D48" s="23" t="inlineStr">
        <is>
          <t>Operations</t>
        </is>
      </c>
      <c r="E48" s="15" t="n">
        <v>24189999</v>
      </c>
      <c r="F48" s="15" t="n">
        <v>3961266</v>
      </c>
      <c r="G48" s="15" t="n">
        <v>511140</v>
      </c>
      <c r="H48" s="15">
        <f>E48+F48-G48</f>
        <v/>
      </c>
      <c r="I48" s="23" t="inlineStr">
        <is>
          <t>2026-03</t>
        </is>
      </c>
      <c r="J48" s="23" t="inlineStr">
        <is>
          <t>Normal</t>
        </is>
      </c>
      <c r="K48" s="13" t="inlineStr">
        <is>
          <t>Hợp lệ</t>
        </is>
      </c>
    </row>
    <row r="49">
      <c r="A49" s="24" t="inlineStr">
        <is>
          <t>E048</t>
        </is>
      </c>
      <c r="B49" s="9" t="inlineStr">
        <is>
          <t>Employee_48</t>
        </is>
      </c>
      <c r="C49" s="24" t="inlineStr">
        <is>
          <t>Manager_D</t>
        </is>
      </c>
      <c r="D49" s="24" t="inlineStr">
        <is>
          <t>HR</t>
        </is>
      </c>
      <c r="E49" s="11" t="n">
        <v>20871010</v>
      </c>
      <c r="F49" s="11" t="n">
        <v>1598955</v>
      </c>
      <c r="G49" s="11" t="n">
        <v>1933297</v>
      </c>
      <c r="H49" s="11">
        <f>E49+F49-G49</f>
        <v/>
      </c>
      <c r="I49" s="24" t="inlineStr">
        <is>
          <t>2026-03</t>
        </is>
      </c>
      <c r="J49" s="24" t="inlineStr">
        <is>
          <t>High_Penalty</t>
        </is>
      </c>
      <c r="K49" s="9" t="inlineStr">
        <is>
          <t>Mức phạt vượt trần cảnh báo</t>
        </is>
      </c>
    </row>
    <row r="50">
      <c r="A50" s="23" t="inlineStr">
        <is>
          <t>E049</t>
        </is>
      </c>
      <c r="B50" s="13" t="inlineStr">
        <is>
          <t>Employee_49</t>
        </is>
      </c>
      <c r="C50" s="23" t="inlineStr">
        <is>
          <t>Manager_B</t>
        </is>
      </c>
      <c r="D50" s="23" t="inlineStr">
        <is>
          <t>Sales</t>
        </is>
      </c>
      <c r="E50" s="15" t="n">
        <v>17269324</v>
      </c>
      <c r="F50" s="15" t="n">
        <v>3480789</v>
      </c>
      <c r="G50" s="15" t="n">
        <v>712770</v>
      </c>
      <c r="H50" s="15">
        <f>E50+F50-G50</f>
        <v/>
      </c>
      <c r="I50" s="23" t="inlineStr">
        <is>
          <t>2026-03</t>
        </is>
      </c>
      <c r="J50" s="23" t="inlineStr">
        <is>
          <t>Normal</t>
        </is>
      </c>
      <c r="K50" s="13" t="inlineStr">
        <is>
          <t>Hợp lệ</t>
        </is>
      </c>
    </row>
    <row r="51">
      <c r="A51" s="24" t="inlineStr">
        <is>
          <t>E050</t>
        </is>
      </c>
      <c r="B51" s="9" t="inlineStr">
        <is>
          <t>Employee_50</t>
        </is>
      </c>
      <c r="C51" s="24" t="inlineStr">
        <is>
          <t>Manager_C</t>
        </is>
      </c>
      <c r="D51" s="24" t="inlineStr">
        <is>
          <t>Sales</t>
        </is>
      </c>
      <c r="E51" s="11" t="n">
        <v>17490501</v>
      </c>
      <c r="F51" s="11" t="n">
        <v>2504467</v>
      </c>
      <c r="G51" s="11" t="n">
        <v>1756314</v>
      </c>
      <c r="H51" s="11">
        <f>E51+F51-G51</f>
        <v/>
      </c>
      <c r="I51" s="24" t="inlineStr">
        <is>
          <t>2026-03</t>
        </is>
      </c>
      <c r="J51" s="24" t="inlineStr">
        <is>
          <t>High_Penalty</t>
        </is>
      </c>
      <c r="K51" s="9" t="inlineStr">
        <is>
          <t>Mức phạt vượt trần cảnh báo</t>
        </is>
      </c>
    </row>
    <row r="52">
      <c r="A52" s="23" t="inlineStr">
        <is>
          <t>E051</t>
        </is>
      </c>
      <c r="B52" s="13" t="inlineStr">
        <is>
          <t>Employee_51</t>
        </is>
      </c>
      <c r="C52" s="23" t="inlineStr">
        <is>
          <t>Manager_D</t>
        </is>
      </c>
      <c r="D52" s="23" t="inlineStr">
        <is>
          <t>HR</t>
        </is>
      </c>
      <c r="E52" s="15" t="n">
        <v>22983644</v>
      </c>
      <c r="F52" s="15" t="n">
        <v>4517941</v>
      </c>
      <c r="G52" s="15" t="n">
        <v>1015737</v>
      </c>
      <c r="H52" s="15">
        <f>E52+F52-G52</f>
        <v/>
      </c>
      <c r="I52" s="23" t="inlineStr">
        <is>
          <t>2026-03</t>
        </is>
      </c>
      <c r="J52" s="23" t="inlineStr">
        <is>
          <t>High_Bonus</t>
        </is>
      </c>
      <c r="K52" s="13" t="inlineStr">
        <is>
          <t>Mức thưởng xuất sắc vượt trội</t>
        </is>
      </c>
    </row>
    <row r="53">
      <c r="A53" s="24" t="inlineStr">
        <is>
          <t>E052</t>
        </is>
      </c>
      <c r="B53" s="9" t="inlineStr">
        <is>
          <t>Employee_52</t>
        </is>
      </c>
      <c r="C53" s="24" t="inlineStr">
        <is>
          <t>Manager_C</t>
        </is>
      </c>
      <c r="D53" s="24" t="inlineStr">
        <is>
          <t>Finance</t>
        </is>
      </c>
      <c r="E53" s="11" t="n">
        <v>26519275</v>
      </c>
      <c r="F53" s="11" t="n">
        <v>4558621</v>
      </c>
      <c r="G53" s="11" t="n">
        <v>791066</v>
      </c>
      <c r="H53" s="11">
        <f>E53+F53-G53</f>
        <v/>
      </c>
      <c r="I53" s="24" t="inlineStr">
        <is>
          <t>2026-03</t>
        </is>
      </c>
      <c r="J53" s="24" t="inlineStr">
        <is>
          <t>High_Bonus</t>
        </is>
      </c>
      <c r="K53" s="9" t="inlineStr">
        <is>
          <t>Mức thưởng xuất sắc vượt trội</t>
        </is>
      </c>
    </row>
    <row r="54">
      <c r="A54" s="23" t="inlineStr">
        <is>
          <t>E053</t>
        </is>
      </c>
      <c r="B54" s="13" t="inlineStr">
        <is>
          <t>Employee_53</t>
        </is>
      </c>
      <c r="C54" s="23" t="inlineStr">
        <is>
          <t>Manager_D</t>
        </is>
      </c>
      <c r="D54" s="23" t="inlineStr">
        <is>
          <t>Finance</t>
        </is>
      </c>
      <c r="E54" s="15" t="n">
        <v>14330123</v>
      </c>
      <c r="F54" s="15" t="n">
        <v>2003246</v>
      </c>
      <c r="G54" s="15" t="n">
        <v>1199146</v>
      </c>
      <c r="H54" s="15">
        <f>E54+F54-G54</f>
        <v/>
      </c>
      <c r="I54" s="23" t="inlineStr">
        <is>
          <t>2026-03</t>
        </is>
      </c>
      <c r="J54" s="23" t="inlineStr">
        <is>
          <t>Normal</t>
        </is>
      </c>
      <c r="K54" s="13" t="inlineStr">
        <is>
          <t>Hợp lệ</t>
        </is>
      </c>
    </row>
    <row r="55">
      <c r="A55" s="24" t="inlineStr">
        <is>
          <t>E054</t>
        </is>
      </c>
      <c r="B55" s="9" t="inlineStr">
        <is>
          <t>Employee_54</t>
        </is>
      </c>
      <c r="C55" s="24" t="inlineStr">
        <is>
          <t>Manager_D</t>
        </is>
      </c>
      <c r="D55" s="24" t="inlineStr">
        <is>
          <t>HR</t>
        </is>
      </c>
      <c r="E55" s="11" t="n">
        <v>21783325</v>
      </c>
      <c r="F55" s="11" t="n">
        <v>366140</v>
      </c>
      <c r="G55" s="11" t="n">
        <v>667264</v>
      </c>
      <c r="H55" s="11">
        <f>E55+F55-G55</f>
        <v/>
      </c>
      <c r="I55" s="24" t="inlineStr">
        <is>
          <t>2026-03</t>
        </is>
      </c>
      <c r="J55" s="24" t="inlineStr">
        <is>
          <t>Normal</t>
        </is>
      </c>
      <c r="K55" s="9" t="inlineStr">
        <is>
          <t>Hợp lệ</t>
        </is>
      </c>
    </row>
    <row r="56">
      <c r="A56" s="23" t="inlineStr">
        <is>
          <t>E055</t>
        </is>
      </c>
      <c r="B56" s="13" t="inlineStr">
        <is>
          <t>Employee_55</t>
        </is>
      </c>
      <c r="C56" s="23" t="inlineStr">
        <is>
          <t>Manager_D</t>
        </is>
      </c>
      <c r="D56" s="23" t="inlineStr">
        <is>
          <t>Operations</t>
        </is>
      </c>
      <c r="E56" s="15" t="n">
        <v>20954653</v>
      </c>
      <c r="F56" s="15" t="n">
        <v>1275951</v>
      </c>
      <c r="G56" s="15" t="n">
        <v>1038779</v>
      </c>
      <c r="H56" s="15">
        <f>E56+F56-G56</f>
        <v/>
      </c>
      <c r="I56" s="23" t="inlineStr">
        <is>
          <t>2026-03</t>
        </is>
      </c>
      <c r="J56" s="23" t="inlineStr">
        <is>
          <t>Normal</t>
        </is>
      </c>
      <c r="K56" s="13" t="inlineStr">
        <is>
          <t>Hợp lệ</t>
        </is>
      </c>
    </row>
    <row r="57">
      <c r="A57" s="24" t="inlineStr">
        <is>
          <t>E056</t>
        </is>
      </c>
      <c r="B57" s="9" t="inlineStr">
        <is>
          <t>Employee_56</t>
        </is>
      </c>
      <c r="C57" s="24" t="inlineStr">
        <is>
          <t>Manager_A</t>
        </is>
      </c>
      <c r="D57" s="24" t="inlineStr">
        <is>
          <t>HR</t>
        </is>
      </c>
      <c r="E57" s="11" t="n">
        <v>24854094</v>
      </c>
      <c r="F57" s="11" t="n">
        <v>4950792</v>
      </c>
      <c r="G57" s="11" t="n">
        <v>696243</v>
      </c>
      <c r="H57" s="11">
        <f>E57+F57-G57</f>
        <v/>
      </c>
      <c r="I57" s="24" t="inlineStr">
        <is>
          <t>2026-03</t>
        </is>
      </c>
      <c r="J57" s="24" t="inlineStr">
        <is>
          <t>High_Bonus</t>
        </is>
      </c>
      <c r="K57" s="9" t="inlineStr">
        <is>
          <t>Mức thưởng xuất sắc vượt trội</t>
        </is>
      </c>
    </row>
    <row r="58">
      <c r="A58" s="23" t="inlineStr">
        <is>
          <t>E057</t>
        </is>
      </c>
      <c r="B58" s="13" t="inlineStr">
        <is>
          <t>Employee_57</t>
        </is>
      </c>
      <c r="C58" s="23" t="inlineStr">
        <is>
          <t>Manager_A</t>
        </is>
      </c>
      <c r="D58" s="23" t="inlineStr">
        <is>
          <t>Operations</t>
        </is>
      </c>
      <c r="E58" s="15" t="n">
        <v>11345769</v>
      </c>
      <c r="F58" s="15" t="n">
        <v>4411997</v>
      </c>
      <c r="G58" s="15" t="n">
        <v>1909334</v>
      </c>
      <c r="H58" s="15">
        <f>E58+F58-G58</f>
        <v/>
      </c>
      <c r="I58" s="23" t="inlineStr">
        <is>
          <t>2026-03</t>
        </is>
      </c>
      <c r="J58" s="23" t="inlineStr">
        <is>
          <t>Dual_Anomaly</t>
        </is>
      </c>
      <c r="K58" s="13" t="inlineStr">
        <is>
          <t>Thưởng và Phạt đều cao bất thường</t>
        </is>
      </c>
    </row>
    <row r="59">
      <c r="A59" s="24" t="inlineStr">
        <is>
          <t>E058</t>
        </is>
      </c>
      <c r="B59" s="9" t="inlineStr">
        <is>
          <t>Employee_58</t>
        </is>
      </c>
      <c r="C59" s="24" t="inlineStr">
        <is>
          <t>Manager_D</t>
        </is>
      </c>
      <c r="D59" s="24" t="inlineStr">
        <is>
          <t>Sales</t>
        </is>
      </c>
      <c r="E59" s="11" t="n">
        <v>12837053</v>
      </c>
      <c r="F59" s="11" t="n">
        <v>3439149</v>
      </c>
      <c r="G59" s="11" t="n">
        <v>1826478</v>
      </c>
      <c r="H59" s="11">
        <f>E59+F59-G59</f>
        <v/>
      </c>
      <c r="I59" s="24" t="inlineStr">
        <is>
          <t>2026-03</t>
        </is>
      </c>
      <c r="J59" s="24" t="inlineStr">
        <is>
          <t>High_Penalty</t>
        </is>
      </c>
      <c r="K59" s="9" t="inlineStr">
        <is>
          <t>Mức phạt vượt trần cảnh báo</t>
        </is>
      </c>
    </row>
    <row r="60">
      <c r="A60" s="23" t="inlineStr">
        <is>
          <t>E059</t>
        </is>
      </c>
      <c r="B60" s="13" t="inlineStr">
        <is>
          <t>Employee_59</t>
        </is>
      </c>
      <c r="C60" s="23" t="inlineStr">
        <is>
          <t>Manager_B</t>
        </is>
      </c>
      <c r="D60" s="23" t="inlineStr">
        <is>
          <t>Sales</t>
        </is>
      </c>
      <c r="E60" s="15" t="n">
        <v>23753490</v>
      </c>
      <c r="F60" s="15" t="n">
        <v>2223172</v>
      </c>
      <c r="G60" s="15" t="n">
        <v>710014</v>
      </c>
      <c r="H60" s="15">
        <f>E60+F60-G60</f>
        <v/>
      </c>
      <c r="I60" s="23" t="inlineStr">
        <is>
          <t>2026-03</t>
        </is>
      </c>
      <c r="J60" s="23" t="inlineStr">
        <is>
          <t>Normal</t>
        </is>
      </c>
      <c r="K60" s="13" t="inlineStr">
        <is>
          <t>Hợp lệ</t>
        </is>
      </c>
    </row>
    <row r="61">
      <c r="A61" s="24" t="inlineStr">
        <is>
          <t>E060</t>
        </is>
      </c>
      <c r="B61" s="9" t="inlineStr">
        <is>
          <t>Employee_60</t>
        </is>
      </c>
      <c r="C61" s="24" t="inlineStr">
        <is>
          <t>Manager_D</t>
        </is>
      </c>
      <c r="D61" s="24" t="inlineStr">
        <is>
          <t>Sales</t>
        </is>
      </c>
      <c r="E61" s="11" t="n">
        <v>19024831</v>
      </c>
      <c r="F61" s="11" t="n">
        <v>4476348</v>
      </c>
      <c r="G61" s="11" t="n">
        <v>796937</v>
      </c>
      <c r="H61" s="11">
        <f>E61+F61-G61</f>
        <v/>
      </c>
      <c r="I61" s="24" t="inlineStr">
        <is>
          <t>2026-03</t>
        </is>
      </c>
      <c r="J61" s="24" t="inlineStr">
        <is>
          <t>High_Bonus</t>
        </is>
      </c>
      <c r="K61" s="9" t="inlineStr">
        <is>
          <t>Mức thưởng xuất sắc vượt trội</t>
        </is>
      </c>
    </row>
    <row r="62">
      <c r="A62" s="23" t="inlineStr">
        <is>
          <t>E061</t>
        </is>
      </c>
      <c r="B62" s="13" t="inlineStr">
        <is>
          <t>Employee_61</t>
        </is>
      </c>
      <c r="C62" s="23" t="inlineStr">
        <is>
          <t>Manager_C</t>
        </is>
      </c>
      <c r="D62" s="23" t="inlineStr">
        <is>
          <t>Operations</t>
        </is>
      </c>
      <c r="E62" s="15" t="n">
        <v>26153485</v>
      </c>
      <c r="F62" s="15" t="n">
        <v>301143</v>
      </c>
      <c r="G62" s="15" t="n">
        <v>1294906</v>
      </c>
      <c r="H62" s="15">
        <f>E62+F62-G62</f>
        <v/>
      </c>
      <c r="I62" s="23" t="inlineStr">
        <is>
          <t>2026-03</t>
        </is>
      </c>
      <c r="J62" s="23" t="inlineStr">
        <is>
          <t>Normal</t>
        </is>
      </c>
      <c r="K62" s="13" t="inlineStr">
        <is>
          <t>Hợp lệ</t>
        </is>
      </c>
    </row>
    <row r="63">
      <c r="A63" s="24" t="inlineStr">
        <is>
          <t>E062</t>
        </is>
      </c>
      <c r="B63" s="9" t="inlineStr">
        <is>
          <t>Employee_62</t>
        </is>
      </c>
      <c r="C63" s="24" t="inlineStr">
        <is>
          <t>Manager_A</t>
        </is>
      </c>
      <c r="D63" s="24" t="inlineStr">
        <is>
          <t>HR</t>
        </is>
      </c>
      <c r="E63" s="11" t="n">
        <v>29178249</v>
      </c>
      <c r="F63" s="11" t="n">
        <v>2410709</v>
      </c>
      <c r="G63" s="11" t="n">
        <v>477073</v>
      </c>
      <c r="H63" s="11">
        <f>E63+F63-G63</f>
        <v/>
      </c>
      <c r="I63" s="24" t="inlineStr">
        <is>
          <t>2026-03</t>
        </is>
      </c>
      <c r="J63" s="24" t="inlineStr">
        <is>
          <t>Normal</t>
        </is>
      </c>
      <c r="K63" s="9" t="inlineStr">
        <is>
          <t>Hợp lệ</t>
        </is>
      </c>
    </row>
    <row r="64">
      <c r="A64" s="23" t="inlineStr">
        <is>
          <t>E063</t>
        </is>
      </c>
      <c r="B64" s="13" t="inlineStr">
        <is>
          <t>Employee_63</t>
        </is>
      </c>
      <c r="C64" s="23" t="inlineStr">
        <is>
          <t>Manager_A</t>
        </is>
      </c>
      <c r="D64" s="23" t="inlineStr">
        <is>
          <t>Operations</t>
        </is>
      </c>
      <c r="E64" s="15" t="n">
        <v>11303203</v>
      </c>
      <c r="F64" s="15" t="n">
        <v>843115</v>
      </c>
      <c r="G64" s="15" t="n">
        <v>930461</v>
      </c>
      <c r="H64" s="15">
        <f>E64+F64-G64</f>
        <v/>
      </c>
      <c r="I64" s="23" t="inlineStr">
        <is>
          <t>2026-03</t>
        </is>
      </c>
      <c r="J64" s="23" t="inlineStr">
        <is>
          <t>Normal</t>
        </is>
      </c>
      <c r="K64" s="13" t="inlineStr">
        <is>
          <t>Hợp lệ</t>
        </is>
      </c>
    </row>
    <row r="65">
      <c r="A65" s="24" t="inlineStr">
        <is>
          <t>E064</t>
        </is>
      </c>
      <c r="B65" s="9" t="inlineStr">
        <is>
          <t>Employee_64</t>
        </is>
      </c>
      <c r="C65" s="24" t="inlineStr">
        <is>
          <t>Manager_B</t>
        </is>
      </c>
      <c r="D65" s="24" t="inlineStr">
        <is>
          <t>Finance</t>
        </is>
      </c>
      <c r="E65" s="11" t="n">
        <v>8971308</v>
      </c>
      <c r="F65" s="11" t="n">
        <v>385800</v>
      </c>
      <c r="G65" s="11" t="n">
        <v>680262</v>
      </c>
      <c r="H65" s="11">
        <f>E65+F65-G65</f>
        <v/>
      </c>
      <c r="I65" s="24" t="inlineStr">
        <is>
          <t>2026-03</t>
        </is>
      </c>
      <c r="J65" s="24" t="inlineStr">
        <is>
          <t>Normal</t>
        </is>
      </c>
      <c r="K65" s="9" t="inlineStr">
        <is>
          <t>Hợp lệ</t>
        </is>
      </c>
    </row>
    <row r="66">
      <c r="A66" s="23" t="inlineStr">
        <is>
          <t>E065</t>
        </is>
      </c>
      <c r="B66" s="13" t="inlineStr">
        <is>
          <t>Employee_65</t>
        </is>
      </c>
      <c r="C66" s="23" t="inlineStr">
        <is>
          <t>Manager_A</t>
        </is>
      </c>
      <c r="D66" s="23" t="inlineStr">
        <is>
          <t>Finance</t>
        </is>
      </c>
      <c r="E66" s="15" t="n">
        <v>20028033</v>
      </c>
      <c r="F66" s="15" t="n">
        <v>3144394</v>
      </c>
      <c r="G66" s="15" t="n">
        <v>903215</v>
      </c>
      <c r="H66" s="15">
        <f>E66+F66-G66</f>
        <v/>
      </c>
      <c r="I66" s="23" t="inlineStr">
        <is>
          <t>2026-03</t>
        </is>
      </c>
      <c r="J66" s="23" t="inlineStr">
        <is>
          <t>Normal</t>
        </is>
      </c>
      <c r="K66" s="13" t="inlineStr">
        <is>
          <t>Hợp lệ</t>
        </is>
      </c>
    </row>
    <row r="67">
      <c r="A67" s="24" t="inlineStr">
        <is>
          <t>E066</t>
        </is>
      </c>
      <c r="B67" s="9" t="inlineStr">
        <is>
          <t>Employee_66</t>
        </is>
      </c>
      <c r="C67" s="24" t="inlineStr">
        <is>
          <t>Manager_B</t>
        </is>
      </c>
      <c r="D67" s="24" t="inlineStr">
        <is>
          <t>HR</t>
        </is>
      </c>
      <c r="E67" s="11" t="n">
        <v>25822984</v>
      </c>
      <c r="F67" s="11" t="n">
        <v>3456540</v>
      </c>
      <c r="G67" s="11" t="n">
        <v>1186837</v>
      </c>
      <c r="H67" s="11">
        <f>E67+F67-G67</f>
        <v/>
      </c>
      <c r="I67" s="24" t="inlineStr">
        <is>
          <t>2026-03</t>
        </is>
      </c>
      <c r="J67" s="24" t="inlineStr">
        <is>
          <t>Normal</t>
        </is>
      </c>
      <c r="K67" s="9" t="inlineStr">
        <is>
          <t>Hợp lệ</t>
        </is>
      </c>
    </row>
    <row r="68">
      <c r="A68" s="23" t="inlineStr">
        <is>
          <t>E067</t>
        </is>
      </c>
      <c r="B68" s="13" t="inlineStr">
        <is>
          <t>Employee_67</t>
        </is>
      </c>
      <c r="C68" s="23" t="inlineStr">
        <is>
          <t>Manager_B</t>
        </is>
      </c>
      <c r="D68" s="23" t="inlineStr">
        <is>
          <t>HR</t>
        </is>
      </c>
      <c r="E68" s="15" t="n">
        <v>13874352</v>
      </c>
      <c r="F68" s="15" t="n">
        <v>662434</v>
      </c>
      <c r="G68" s="15" t="n">
        <v>1278196</v>
      </c>
      <c r="H68" s="15">
        <f>E68+F68-G68</f>
        <v/>
      </c>
      <c r="I68" s="23" t="inlineStr">
        <is>
          <t>2026-03</t>
        </is>
      </c>
      <c r="J68" s="23" t="inlineStr">
        <is>
          <t>Normal</t>
        </is>
      </c>
      <c r="K68" s="13" t="inlineStr">
        <is>
          <t>Hợp lệ</t>
        </is>
      </c>
    </row>
    <row r="69">
      <c r="A69" s="24" t="inlineStr">
        <is>
          <t>E068</t>
        </is>
      </c>
      <c r="B69" s="9" t="inlineStr">
        <is>
          <t>Employee_68</t>
        </is>
      </c>
      <c r="C69" s="24" t="inlineStr">
        <is>
          <t>Manager_D</t>
        </is>
      </c>
      <c r="D69" s="24" t="inlineStr">
        <is>
          <t>HR</t>
        </is>
      </c>
      <c r="E69" s="11" t="n">
        <v>24698941</v>
      </c>
      <c r="F69" s="11" t="n">
        <v>4891876</v>
      </c>
      <c r="G69" s="11" t="n">
        <v>300139</v>
      </c>
      <c r="H69" s="11">
        <f>E69+F69-G69</f>
        <v/>
      </c>
      <c r="I69" s="24" t="inlineStr">
        <is>
          <t>2026-03</t>
        </is>
      </c>
      <c r="J69" s="24" t="inlineStr">
        <is>
          <t>High_Bonus</t>
        </is>
      </c>
      <c r="K69" s="9" t="inlineStr">
        <is>
          <t>Mức thưởng xuất sắc vượt trội</t>
        </is>
      </c>
    </row>
    <row r="70">
      <c r="A70" s="23" t="inlineStr">
        <is>
          <t>E069</t>
        </is>
      </c>
      <c r="B70" s="13" t="inlineStr">
        <is>
          <t>Employee_69</t>
        </is>
      </c>
      <c r="C70" s="23" t="inlineStr">
        <is>
          <t>Manager_B</t>
        </is>
      </c>
      <c r="D70" s="23" t="inlineStr">
        <is>
          <t>Operations</t>
        </is>
      </c>
      <c r="E70" s="15" t="n">
        <v>29404527</v>
      </c>
      <c r="F70" s="15" t="n">
        <v>2130516</v>
      </c>
      <c r="G70" s="15" t="n">
        <v>963789</v>
      </c>
      <c r="H70" s="15">
        <f>E70+F70-G70</f>
        <v/>
      </c>
      <c r="I70" s="23" t="inlineStr">
        <is>
          <t>2026-03</t>
        </is>
      </c>
      <c r="J70" s="23" t="inlineStr">
        <is>
          <t>Normal</t>
        </is>
      </c>
      <c r="K70" s="13" t="inlineStr">
        <is>
          <t>Hợp lệ</t>
        </is>
      </c>
    </row>
    <row r="71">
      <c r="A71" s="24" t="inlineStr">
        <is>
          <t>E070</t>
        </is>
      </c>
      <c r="B71" s="9" t="inlineStr">
        <is>
          <t>Employee_70</t>
        </is>
      </c>
      <c r="C71" s="24" t="inlineStr">
        <is>
          <t>Manager_C</t>
        </is>
      </c>
      <c r="D71" s="24" t="inlineStr">
        <is>
          <t>Sales</t>
        </is>
      </c>
      <c r="E71" s="11" t="n">
        <v>23611308</v>
      </c>
      <c r="F71" s="11" t="n">
        <v>2412829</v>
      </c>
      <c r="G71" s="11" t="n">
        <v>1421053</v>
      </c>
      <c r="H71" s="11">
        <f>E71+F71-G71</f>
        <v/>
      </c>
      <c r="I71" s="24" t="inlineStr">
        <is>
          <t>2026-03</t>
        </is>
      </c>
      <c r="J71" s="24" t="inlineStr">
        <is>
          <t>Normal</t>
        </is>
      </c>
      <c r="K71" s="9" t="inlineStr">
        <is>
          <t>Hợp lệ</t>
        </is>
      </c>
    </row>
    <row r="72">
      <c r="A72" s="23" t="inlineStr">
        <is>
          <t>E071</t>
        </is>
      </c>
      <c r="B72" s="13" t="inlineStr">
        <is>
          <t>Employee_71</t>
        </is>
      </c>
      <c r="C72" s="23" t="inlineStr">
        <is>
          <t>Manager_B</t>
        </is>
      </c>
      <c r="D72" s="23" t="inlineStr">
        <is>
          <t>Sales</t>
        </is>
      </c>
      <c r="E72" s="15" t="n">
        <v>22821991</v>
      </c>
      <c r="F72" s="15" t="n">
        <v>2898814</v>
      </c>
      <c r="G72" s="15" t="n">
        <v>1232227</v>
      </c>
      <c r="H72" s="15">
        <f>E72+F72-G72</f>
        <v/>
      </c>
      <c r="I72" s="23" t="inlineStr">
        <is>
          <t>2026-03</t>
        </is>
      </c>
      <c r="J72" s="23" t="inlineStr">
        <is>
          <t>Normal</t>
        </is>
      </c>
      <c r="K72" s="13" t="inlineStr">
        <is>
          <t>Hợp lệ</t>
        </is>
      </c>
    </row>
    <row r="73">
      <c r="A73" s="24" t="inlineStr">
        <is>
          <t>E072</t>
        </is>
      </c>
      <c r="B73" s="9" t="inlineStr">
        <is>
          <t>Employee_72</t>
        </is>
      </c>
      <c r="C73" s="24" t="inlineStr">
        <is>
          <t>Manager_C</t>
        </is>
      </c>
      <c r="D73" s="24" t="inlineStr">
        <is>
          <t>Operations</t>
        </is>
      </c>
      <c r="E73" s="11" t="n">
        <v>16391903</v>
      </c>
      <c r="F73" s="11" t="n">
        <v>3832216</v>
      </c>
      <c r="G73" s="11" t="n">
        <v>1772730</v>
      </c>
      <c r="H73" s="11">
        <f>E73+F73-G73</f>
        <v/>
      </c>
      <c r="I73" s="24" t="inlineStr">
        <is>
          <t>2026-03</t>
        </is>
      </c>
      <c r="J73" s="24" t="inlineStr">
        <is>
          <t>High_Penalty</t>
        </is>
      </c>
      <c r="K73" s="9" t="inlineStr">
        <is>
          <t>Mức phạt vượt trần cảnh báo</t>
        </is>
      </c>
    </row>
    <row r="74">
      <c r="A74" s="23" t="inlineStr">
        <is>
          <t>E073</t>
        </is>
      </c>
      <c r="B74" s="13" t="inlineStr">
        <is>
          <t>Employee_73</t>
        </is>
      </c>
      <c r="C74" s="23" t="inlineStr">
        <is>
          <t>Manager_C</t>
        </is>
      </c>
      <c r="D74" s="23" t="inlineStr">
        <is>
          <t>HR</t>
        </is>
      </c>
      <c r="E74" s="15" t="n">
        <v>20908163</v>
      </c>
      <c r="F74" s="15" t="n">
        <v>4053443</v>
      </c>
      <c r="G74" s="15" t="n">
        <v>223668</v>
      </c>
      <c r="H74" s="15">
        <f>E74+F74-G74</f>
        <v/>
      </c>
      <c r="I74" s="23" t="inlineStr">
        <is>
          <t>2026-03</t>
        </is>
      </c>
      <c r="J74" s="23" t="inlineStr">
        <is>
          <t>High_Bonus</t>
        </is>
      </c>
      <c r="K74" s="13" t="inlineStr">
        <is>
          <t>Mức thưởng xuất sắc vượt trội</t>
        </is>
      </c>
    </row>
    <row r="75">
      <c r="A75" s="24" t="inlineStr">
        <is>
          <t>E074</t>
        </is>
      </c>
      <c r="B75" s="9" t="inlineStr">
        <is>
          <t>Employee_74</t>
        </is>
      </c>
      <c r="C75" s="24" t="inlineStr">
        <is>
          <t>Manager_B</t>
        </is>
      </c>
      <c r="D75" s="24" t="inlineStr">
        <is>
          <t>Operations</t>
        </is>
      </c>
      <c r="E75" s="11" t="n">
        <v>27190541</v>
      </c>
      <c r="F75" s="11" t="n">
        <v>3011167</v>
      </c>
      <c r="G75" s="11" t="n">
        <v>1205467</v>
      </c>
      <c r="H75" s="11">
        <f>E75+F75-G75</f>
        <v/>
      </c>
      <c r="I75" s="24" t="inlineStr">
        <is>
          <t>2026-03</t>
        </is>
      </c>
      <c r="J75" s="24" t="inlineStr">
        <is>
          <t>Normal</t>
        </is>
      </c>
      <c r="K75" s="9" t="inlineStr">
        <is>
          <t>Hợp lệ</t>
        </is>
      </c>
    </row>
    <row r="76">
      <c r="A76" s="23" t="inlineStr">
        <is>
          <t>E075</t>
        </is>
      </c>
      <c r="B76" s="13" t="inlineStr">
        <is>
          <t>Employee_75</t>
        </is>
      </c>
      <c r="C76" s="23" t="inlineStr">
        <is>
          <t>Manager_C</t>
        </is>
      </c>
      <c r="D76" s="23" t="inlineStr">
        <is>
          <t>Finance</t>
        </is>
      </c>
      <c r="E76" s="15" t="n">
        <v>8736170</v>
      </c>
      <c r="F76" s="15" t="n">
        <v>3320259</v>
      </c>
      <c r="G76" s="15" t="n">
        <v>575627</v>
      </c>
      <c r="H76" s="15">
        <f>E76+F76-G76</f>
        <v/>
      </c>
      <c r="I76" s="23" t="inlineStr">
        <is>
          <t>2026-03</t>
        </is>
      </c>
      <c r="J76" s="23" t="inlineStr">
        <is>
          <t>Normal</t>
        </is>
      </c>
      <c r="K76" s="13" t="inlineStr">
        <is>
          <t>Hợp lệ</t>
        </is>
      </c>
    </row>
    <row r="77">
      <c r="A77" s="24" t="inlineStr">
        <is>
          <t>E076</t>
        </is>
      </c>
      <c r="B77" s="9" t="inlineStr">
        <is>
          <t>Employee_76</t>
        </is>
      </c>
      <c r="C77" s="24" t="inlineStr">
        <is>
          <t>Manager_A</t>
        </is>
      </c>
      <c r="D77" s="24" t="inlineStr">
        <is>
          <t>Sales</t>
        </is>
      </c>
      <c r="E77" s="11" t="n">
        <v>28347625</v>
      </c>
      <c r="F77" s="11" t="n">
        <v>4166850</v>
      </c>
      <c r="G77" s="11" t="n">
        <v>1746589</v>
      </c>
      <c r="H77" s="11">
        <f>E77+F77-G77</f>
        <v/>
      </c>
      <c r="I77" s="24" t="inlineStr">
        <is>
          <t>2026-03</t>
        </is>
      </c>
      <c r="J77" s="24" t="inlineStr">
        <is>
          <t>Dual_Anomaly</t>
        </is>
      </c>
      <c r="K77" s="9" t="inlineStr">
        <is>
          <t>Thưởng và Phạt đều cao bất thường</t>
        </is>
      </c>
    </row>
    <row r="78">
      <c r="A78" s="23" t="inlineStr">
        <is>
          <t>E077</t>
        </is>
      </c>
      <c r="B78" s="13" t="inlineStr">
        <is>
          <t>Employee_77</t>
        </is>
      </c>
      <c r="C78" s="23" t="inlineStr">
        <is>
          <t>Manager_C</t>
        </is>
      </c>
      <c r="D78" s="23" t="inlineStr">
        <is>
          <t>HR</t>
        </is>
      </c>
      <c r="E78" s="15" t="n">
        <v>28369721</v>
      </c>
      <c r="F78" s="15" t="n">
        <v>2955482</v>
      </c>
      <c r="G78" s="15" t="n">
        <v>459285</v>
      </c>
      <c r="H78" s="15">
        <f>E78+F78-G78</f>
        <v/>
      </c>
      <c r="I78" s="23" t="inlineStr">
        <is>
          <t>2026-03</t>
        </is>
      </c>
      <c r="J78" s="23" t="inlineStr">
        <is>
          <t>Normal</t>
        </is>
      </c>
      <c r="K78" s="13" t="inlineStr">
        <is>
          <t>Hợp lệ</t>
        </is>
      </c>
    </row>
    <row r="79">
      <c r="A79" s="24" t="inlineStr">
        <is>
          <t>E078</t>
        </is>
      </c>
      <c r="B79" s="9" t="inlineStr">
        <is>
          <t>Employee_78</t>
        </is>
      </c>
      <c r="C79" s="24" t="inlineStr">
        <is>
          <t>Manager_B</t>
        </is>
      </c>
      <c r="D79" s="24" t="inlineStr">
        <is>
          <t>Finance</t>
        </is>
      </c>
      <c r="E79" s="11" t="n">
        <v>12589549</v>
      </c>
      <c r="F79" s="11" t="n">
        <v>815070</v>
      </c>
      <c r="G79" s="11" t="n">
        <v>1894574</v>
      </c>
      <c r="H79" s="11">
        <f>E79+F79-G79</f>
        <v/>
      </c>
      <c r="I79" s="24" t="inlineStr">
        <is>
          <t>2026-03</t>
        </is>
      </c>
      <c r="J79" s="24" t="inlineStr">
        <is>
          <t>High_Penalty</t>
        </is>
      </c>
      <c r="K79" s="9" t="inlineStr">
        <is>
          <t>Mức phạt vượt trần cảnh báo</t>
        </is>
      </c>
    </row>
    <row r="80">
      <c r="A80" s="23" t="inlineStr">
        <is>
          <t>E079</t>
        </is>
      </c>
      <c r="B80" s="13" t="inlineStr">
        <is>
          <t>Employee_79</t>
        </is>
      </c>
      <c r="C80" s="23" t="inlineStr">
        <is>
          <t>Manager_A</t>
        </is>
      </c>
      <c r="D80" s="23" t="inlineStr">
        <is>
          <t>Finance</t>
        </is>
      </c>
      <c r="E80" s="15" t="n">
        <v>22791571</v>
      </c>
      <c r="F80" s="15" t="n">
        <v>279881</v>
      </c>
      <c r="G80" s="15" t="n">
        <v>1215454</v>
      </c>
      <c r="H80" s="15">
        <f>E80+F80-G80</f>
        <v/>
      </c>
      <c r="I80" s="23" t="inlineStr">
        <is>
          <t>2026-03</t>
        </is>
      </c>
      <c r="J80" s="23" t="inlineStr">
        <is>
          <t>Normal</t>
        </is>
      </c>
      <c r="K80" s="13" t="inlineStr">
        <is>
          <t>Hợp lệ</t>
        </is>
      </c>
    </row>
    <row r="81">
      <c r="A81" s="24" t="inlineStr">
        <is>
          <t>E080</t>
        </is>
      </c>
      <c r="B81" s="9" t="inlineStr">
        <is>
          <t>Employee_80</t>
        </is>
      </c>
      <c r="C81" s="24" t="inlineStr">
        <is>
          <t>Manager_C</t>
        </is>
      </c>
      <c r="D81" s="24" t="inlineStr">
        <is>
          <t>HR</t>
        </is>
      </c>
      <c r="E81" s="11" t="n">
        <v>11024374</v>
      </c>
      <c r="F81" s="11" t="n">
        <v>2475565</v>
      </c>
      <c r="G81" s="11" t="n">
        <v>685179</v>
      </c>
      <c r="H81" s="11">
        <f>E81+F81-G81</f>
        <v/>
      </c>
      <c r="I81" s="24" t="inlineStr">
        <is>
          <t>2026-03</t>
        </is>
      </c>
      <c r="J81" s="24" t="inlineStr">
        <is>
          <t>Normal</t>
        </is>
      </c>
      <c r="K81" s="9" t="inlineStr">
        <is>
          <t>Hợp lệ</t>
        </is>
      </c>
    </row>
    <row r="82">
      <c r="A82" s="23" t="inlineStr">
        <is>
          <t>E081</t>
        </is>
      </c>
      <c r="B82" s="13" t="inlineStr">
        <is>
          <t>Employee_81</t>
        </is>
      </c>
      <c r="C82" s="23" t="inlineStr">
        <is>
          <t>Manager_D</t>
        </is>
      </c>
      <c r="D82" s="23" t="inlineStr">
        <is>
          <t>HR</t>
        </is>
      </c>
      <c r="E82" s="15" t="n">
        <v>14737555</v>
      </c>
      <c r="F82" s="15" t="n">
        <v>1108636</v>
      </c>
      <c r="G82" s="15" t="n">
        <v>1649436</v>
      </c>
      <c r="H82" s="15">
        <f>E82+F82-G82</f>
        <v/>
      </c>
      <c r="I82" s="23" t="inlineStr">
        <is>
          <t>2026-03</t>
        </is>
      </c>
      <c r="J82" s="23" t="inlineStr">
        <is>
          <t>High_Penalty</t>
        </is>
      </c>
      <c r="K82" s="13" t="inlineStr">
        <is>
          <t>Mức phạt vượt trần cảnh báo</t>
        </is>
      </c>
    </row>
    <row r="83">
      <c r="A83" s="24" t="inlineStr">
        <is>
          <t>E082</t>
        </is>
      </c>
      <c r="B83" s="9" t="inlineStr">
        <is>
          <t>Employee_82</t>
        </is>
      </c>
      <c r="C83" s="24" t="inlineStr">
        <is>
          <t>Manager_C</t>
        </is>
      </c>
      <c r="D83" s="24" t="inlineStr">
        <is>
          <t>Finance</t>
        </is>
      </c>
      <c r="E83" s="11" t="n">
        <v>13521194</v>
      </c>
      <c r="F83" s="11" t="n">
        <v>2155621</v>
      </c>
      <c r="G83" s="11" t="n">
        <v>1916899</v>
      </c>
      <c r="H83" s="11">
        <f>E83+F83-G83</f>
        <v/>
      </c>
      <c r="I83" s="24" t="inlineStr">
        <is>
          <t>2026-03</t>
        </is>
      </c>
      <c r="J83" s="24" t="inlineStr">
        <is>
          <t>High_Penalty</t>
        </is>
      </c>
      <c r="K83" s="9" t="inlineStr">
        <is>
          <t>Mức phạt vượt trần cảnh báo</t>
        </is>
      </c>
    </row>
    <row r="84">
      <c r="A84" s="23" t="inlineStr">
        <is>
          <t>E083</t>
        </is>
      </c>
      <c r="B84" s="13" t="inlineStr">
        <is>
          <t>Employee_83</t>
        </is>
      </c>
      <c r="C84" s="23" t="inlineStr">
        <is>
          <t>Manager_D</t>
        </is>
      </c>
      <c r="D84" s="23" t="inlineStr">
        <is>
          <t>Finance</t>
        </is>
      </c>
      <c r="E84" s="15" t="n">
        <v>19365397</v>
      </c>
      <c r="F84" s="15" t="n">
        <v>966113</v>
      </c>
      <c r="G84" s="15" t="n">
        <v>982162</v>
      </c>
      <c r="H84" s="15">
        <f>E84+F84-G84</f>
        <v/>
      </c>
      <c r="I84" s="23" t="inlineStr">
        <is>
          <t>2026-03</t>
        </is>
      </c>
      <c r="J84" s="23" t="inlineStr">
        <is>
          <t>Normal</t>
        </is>
      </c>
      <c r="K84" s="13" t="inlineStr">
        <is>
          <t>Hợp lệ</t>
        </is>
      </c>
    </row>
    <row r="85">
      <c r="A85" s="24" t="inlineStr">
        <is>
          <t>E084</t>
        </is>
      </c>
      <c r="B85" s="9" t="inlineStr">
        <is>
          <t>Employee_84</t>
        </is>
      </c>
      <c r="C85" s="24" t="inlineStr">
        <is>
          <t>Manager_A</t>
        </is>
      </c>
      <c r="D85" s="24" t="inlineStr">
        <is>
          <t>HR</t>
        </is>
      </c>
      <c r="E85" s="11" t="n">
        <v>15570372</v>
      </c>
      <c r="F85" s="11" t="n">
        <v>3333729</v>
      </c>
      <c r="G85" s="11" t="n">
        <v>1773654</v>
      </c>
      <c r="H85" s="11">
        <f>E85+F85-G85</f>
        <v/>
      </c>
      <c r="I85" s="24" t="inlineStr">
        <is>
          <t>2026-03</t>
        </is>
      </c>
      <c r="J85" s="24" t="inlineStr">
        <is>
          <t>High_Penalty</t>
        </is>
      </c>
      <c r="K85" s="9" t="inlineStr">
        <is>
          <t>Mức phạt vượt trần cảnh báo</t>
        </is>
      </c>
    </row>
    <row r="86">
      <c r="A86" s="23" t="inlineStr">
        <is>
          <t>E085</t>
        </is>
      </c>
      <c r="B86" s="13" t="inlineStr">
        <is>
          <t>Employee_85</t>
        </is>
      </c>
      <c r="C86" s="23" t="inlineStr">
        <is>
          <t>Manager_C</t>
        </is>
      </c>
      <c r="D86" s="23" t="inlineStr">
        <is>
          <t>Sales</t>
        </is>
      </c>
      <c r="E86" s="15" t="n">
        <v>21239725</v>
      </c>
      <c r="F86" s="15" t="n">
        <v>116758</v>
      </c>
      <c r="G86" s="15" t="n">
        <v>554609</v>
      </c>
      <c r="H86" s="15">
        <f>E86+F86-G86</f>
        <v/>
      </c>
      <c r="I86" s="23" t="inlineStr">
        <is>
          <t>2026-03</t>
        </is>
      </c>
      <c r="J86" s="23" t="inlineStr">
        <is>
          <t>Normal</t>
        </is>
      </c>
      <c r="K86" s="13" t="inlineStr">
        <is>
          <t>Hợp lệ</t>
        </is>
      </c>
    </row>
    <row r="87">
      <c r="A87" s="24" t="inlineStr">
        <is>
          <t>E086</t>
        </is>
      </c>
      <c r="B87" s="9" t="inlineStr">
        <is>
          <t>Employee_86</t>
        </is>
      </c>
      <c r="C87" s="24" t="inlineStr">
        <is>
          <t>Manager_A</t>
        </is>
      </c>
      <c r="D87" s="24" t="inlineStr">
        <is>
          <t>Operations</t>
        </is>
      </c>
      <c r="E87" s="11" t="n">
        <v>20367682</v>
      </c>
      <c r="F87" s="11" t="n">
        <v>2199169</v>
      </c>
      <c r="G87" s="11" t="n">
        <v>1225911</v>
      </c>
      <c r="H87" s="11">
        <f>E87+F87-G87</f>
        <v/>
      </c>
      <c r="I87" s="24" t="inlineStr">
        <is>
          <t>2026-03</t>
        </is>
      </c>
      <c r="J87" s="24" t="inlineStr">
        <is>
          <t>Normal</t>
        </is>
      </c>
      <c r="K87" s="9" t="inlineStr">
        <is>
          <t>Hợp lệ</t>
        </is>
      </c>
    </row>
    <row r="88">
      <c r="A88" s="23" t="inlineStr">
        <is>
          <t>E087</t>
        </is>
      </c>
      <c r="B88" s="13" t="inlineStr">
        <is>
          <t>Employee_87</t>
        </is>
      </c>
      <c r="C88" s="23" t="inlineStr">
        <is>
          <t>Manager_D</t>
        </is>
      </c>
      <c r="D88" s="23" t="inlineStr">
        <is>
          <t>Finance</t>
        </is>
      </c>
      <c r="E88" s="15" t="n">
        <v>11635491</v>
      </c>
      <c r="F88" s="15" t="n">
        <v>1961440</v>
      </c>
      <c r="G88" s="15" t="n">
        <v>988758</v>
      </c>
      <c r="H88" s="15">
        <f>E88+F88-G88</f>
        <v/>
      </c>
      <c r="I88" s="23" t="inlineStr">
        <is>
          <t>2026-03</t>
        </is>
      </c>
      <c r="J88" s="23" t="inlineStr">
        <is>
          <t>Normal</t>
        </is>
      </c>
      <c r="K88" s="13" t="inlineStr">
        <is>
          <t>Hợp lệ</t>
        </is>
      </c>
    </row>
    <row r="89">
      <c r="A89" s="24" t="inlineStr">
        <is>
          <t>E088</t>
        </is>
      </c>
      <c r="B89" s="9" t="inlineStr">
        <is>
          <t>Employee_88</t>
        </is>
      </c>
      <c r="C89" s="24" t="inlineStr">
        <is>
          <t>Manager_A</t>
        </is>
      </c>
      <c r="D89" s="24" t="inlineStr">
        <is>
          <t>Finance</t>
        </is>
      </c>
      <c r="E89" s="11" t="n">
        <v>28470961</v>
      </c>
      <c r="F89" s="11" t="n">
        <v>1856962</v>
      </c>
      <c r="G89" s="11" t="n">
        <v>1358225</v>
      </c>
      <c r="H89" s="11">
        <f>E89+F89-G89</f>
        <v/>
      </c>
      <c r="I89" s="24" t="inlineStr">
        <is>
          <t>2026-03</t>
        </is>
      </c>
      <c r="J89" s="24" t="inlineStr">
        <is>
          <t>Normal</t>
        </is>
      </c>
      <c r="K89" s="9" t="inlineStr">
        <is>
          <t>Hợp lệ</t>
        </is>
      </c>
    </row>
    <row r="90">
      <c r="A90" s="23" t="inlineStr">
        <is>
          <t>E089</t>
        </is>
      </c>
      <c r="B90" s="13" t="inlineStr">
        <is>
          <t>Employee_89</t>
        </is>
      </c>
      <c r="C90" s="23" t="inlineStr">
        <is>
          <t>Manager_A</t>
        </is>
      </c>
      <c r="D90" s="23" t="inlineStr">
        <is>
          <t>Operations</t>
        </is>
      </c>
      <c r="E90" s="15" t="n">
        <v>18139819</v>
      </c>
      <c r="F90" s="15" t="n">
        <v>3425033</v>
      </c>
      <c r="G90" s="15" t="n">
        <v>244687</v>
      </c>
      <c r="H90" s="15">
        <f>E90+F90-G90</f>
        <v/>
      </c>
      <c r="I90" s="23" t="inlineStr">
        <is>
          <t>2026-03</t>
        </is>
      </c>
      <c r="J90" s="23" t="inlineStr">
        <is>
          <t>Normal</t>
        </is>
      </c>
      <c r="K90" s="13" t="inlineStr">
        <is>
          <t>Hợp lệ</t>
        </is>
      </c>
    </row>
    <row r="91">
      <c r="A91" s="24" t="inlineStr">
        <is>
          <t>E090</t>
        </is>
      </c>
      <c r="B91" s="9" t="inlineStr">
        <is>
          <t>Employee_90</t>
        </is>
      </c>
      <c r="C91" s="24" t="inlineStr">
        <is>
          <t>Manager_B</t>
        </is>
      </c>
      <c r="D91" s="24" t="inlineStr">
        <is>
          <t>Sales</t>
        </is>
      </c>
      <c r="E91" s="11" t="n">
        <v>9248631</v>
      </c>
      <c r="F91" s="11" t="n">
        <v>2553195</v>
      </c>
      <c r="G91" s="11" t="n">
        <v>1033108</v>
      </c>
      <c r="H91" s="11">
        <f>E91+F91-G91</f>
        <v/>
      </c>
      <c r="I91" s="24" t="inlineStr">
        <is>
          <t>2026-03</t>
        </is>
      </c>
      <c r="J91" s="24" t="inlineStr">
        <is>
          <t>High_Penalty</t>
        </is>
      </c>
      <c r="K91" s="9" t="inlineStr">
        <is>
          <t>Mức phạt vượt trần cảnh báo</t>
        </is>
      </c>
    </row>
    <row r="92">
      <c r="A92" s="23" t="inlineStr">
        <is>
          <t>E091</t>
        </is>
      </c>
      <c r="B92" s="13" t="inlineStr">
        <is>
          <t>Employee_91</t>
        </is>
      </c>
      <c r="C92" s="23" t="inlineStr">
        <is>
          <t>Manager_A</t>
        </is>
      </c>
      <c r="D92" s="23" t="inlineStr">
        <is>
          <t>Sales</t>
        </is>
      </c>
      <c r="E92" s="15" t="n">
        <v>15878581</v>
      </c>
      <c r="F92" s="15" t="n">
        <v>4509267</v>
      </c>
      <c r="G92" s="15" t="n">
        <v>284508</v>
      </c>
      <c r="H92" s="15">
        <f>E92+F92-G92</f>
        <v/>
      </c>
      <c r="I92" s="23" t="inlineStr">
        <is>
          <t>2026-03</t>
        </is>
      </c>
      <c r="J92" s="23" t="inlineStr">
        <is>
          <t>High_Bonus</t>
        </is>
      </c>
      <c r="K92" s="13" t="inlineStr">
        <is>
          <t>Mức thưởng xuất sắc vượt trội</t>
        </is>
      </c>
    </row>
    <row r="93">
      <c r="A93" s="24" t="inlineStr">
        <is>
          <t>E092</t>
        </is>
      </c>
      <c r="B93" s="9" t="inlineStr">
        <is>
          <t>Employee_92</t>
        </is>
      </c>
      <c r="C93" s="24" t="inlineStr">
        <is>
          <t>Manager_D</t>
        </is>
      </c>
      <c r="D93" s="24" t="inlineStr">
        <is>
          <t>Operations</t>
        </is>
      </c>
      <c r="E93" s="11" t="n">
        <v>20449080</v>
      </c>
      <c r="F93" s="11" t="n">
        <v>4531463</v>
      </c>
      <c r="G93" s="11" t="n">
        <v>878972</v>
      </c>
      <c r="H93" s="11">
        <f>E93+F93-G93</f>
        <v/>
      </c>
      <c r="I93" s="24" t="inlineStr">
        <is>
          <t>2026-03</t>
        </is>
      </c>
      <c r="J93" s="24" t="inlineStr">
        <is>
          <t>High_Bonus</t>
        </is>
      </c>
      <c r="K93" s="9" t="inlineStr">
        <is>
          <t>Mức thưởng xuất sắc vượt trội</t>
        </is>
      </c>
    </row>
    <row r="94">
      <c r="A94" s="23" t="inlineStr">
        <is>
          <t>E093</t>
        </is>
      </c>
      <c r="B94" s="13" t="inlineStr">
        <is>
          <t>Employee_93</t>
        </is>
      </c>
      <c r="C94" s="23" t="inlineStr">
        <is>
          <t>Manager_B</t>
        </is>
      </c>
      <c r="D94" s="23" t="inlineStr">
        <is>
          <t>Operations</t>
        </is>
      </c>
      <c r="E94" s="15" t="n">
        <v>29975532</v>
      </c>
      <c r="F94" s="15" t="n">
        <v>830653</v>
      </c>
      <c r="G94" s="15" t="n">
        <v>1748381</v>
      </c>
      <c r="H94" s="15">
        <f>E94+F94-G94</f>
        <v/>
      </c>
      <c r="I94" s="23" t="inlineStr">
        <is>
          <t>2026-03</t>
        </is>
      </c>
      <c r="J94" s="23" t="inlineStr">
        <is>
          <t>High_Penalty</t>
        </is>
      </c>
      <c r="K94" s="13" t="inlineStr">
        <is>
          <t>Mức phạt vượt trần cảnh báo</t>
        </is>
      </c>
    </row>
    <row r="95">
      <c r="A95" s="24" t="inlineStr">
        <is>
          <t>E094</t>
        </is>
      </c>
      <c r="B95" s="9" t="inlineStr">
        <is>
          <t>Employee_94</t>
        </is>
      </c>
      <c r="C95" s="24" t="inlineStr">
        <is>
          <t>Manager_D</t>
        </is>
      </c>
      <c r="D95" s="24" t="inlineStr">
        <is>
          <t>Operations</t>
        </is>
      </c>
      <c r="E95" s="11" t="n">
        <v>17386521</v>
      </c>
      <c r="F95" s="11" t="n">
        <v>274444</v>
      </c>
      <c r="G95" s="11" t="n">
        <v>1447623</v>
      </c>
      <c r="H95" s="11">
        <f>E95+F95-G95</f>
        <v/>
      </c>
      <c r="I95" s="24" t="inlineStr">
        <is>
          <t>2026-03</t>
        </is>
      </c>
      <c r="J95" s="24" t="inlineStr">
        <is>
          <t>Normal</t>
        </is>
      </c>
      <c r="K95" s="9" t="inlineStr">
        <is>
          <t>Hợp lệ</t>
        </is>
      </c>
    </row>
    <row r="96">
      <c r="A96" s="23" t="inlineStr">
        <is>
          <t>E095</t>
        </is>
      </c>
      <c r="B96" s="13" t="inlineStr">
        <is>
          <t>Employee_95</t>
        </is>
      </c>
      <c r="C96" s="23" t="inlineStr">
        <is>
          <t>Manager_C</t>
        </is>
      </c>
      <c r="D96" s="23" t="inlineStr">
        <is>
          <t>HR</t>
        </is>
      </c>
      <c r="E96" s="15" t="n">
        <v>22877467</v>
      </c>
      <c r="F96" s="15" t="n">
        <v>3730379</v>
      </c>
      <c r="G96" s="15" t="n">
        <v>1993458</v>
      </c>
      <c r="H96" s="15">
        <f>E96+F96-G96</f>
        <v/>
      </c>
      <c r="I96" s="23" t="inlineStr">
        <is>
          <t>2026-03</t>
        </is>
      </c>
      <c r="J96" s="23" t="inlineStr">
        <is>
          <t>High_Penalty</t>
        </is>
      </c>
      <c r="K96" s="13" t="inlineStr">
        <is>
          <t>Mức phạt vượt trần cảnh báo</t>
        </is>
      </c>
    </row>
    <row r="97">
      <c r="A97" s="24" t="inlineStr">
        <is>
          <t>E096</t>
        </is>
      </c>
      <c r="B97" s="9" t="inlineStr">
        <is>
          <t>Employee_96</t>
        </is>
      </c>
      <c r="C97" s="24" t="inlineStr">
        <is>
          <t>Manager_B</t>
        </is>
      </c>
      <c r="D97" s="24" t="inlineStr">
        <is>
          <t>Finance</t>
        </is>
      </c>
      <c r="E97" s="11" t="n">
        <v>11333787</v>
      </c>
      <c r="F97" s="11" t="n">
        <v>3081428</v>
      </c>
      <c r="G97" s="11" t="n">
        <v>1141827</v>
      </c>
      <c r="H97" s="11">
        <f>E97+F97-G97</f>
        <v/>
      </c>
      <c r="I97" s="24" t="inlineStr">
        <is>
          <t>2026-03</t>
        </is>
      </c>
      <c r="J97" s="24" t="inlineStr">
        <is>
          <t>High_Penalty</t>
        </is>
      </c>
      <c r="K97" s="9" t="inlineStr">
        <is>
          <t>Mức phạt vượt trần cảnh báo</t>
        </is>
      </c>
    </row>
    <row r="98">
      <c r="A98" s="23" t="inlineStr">
        <is>
          <t>E097</t>
        </is>
      </c>
      <c r="B98" s="13" t="inlineStr">
        <is>
          <t>Employee_97</t>
        </is>
      </c>
      <c r="C98" s="23" t="inlineStr">
        <is>
          <t>Manager_C</t>
        </is>
      </c>
      <c r="D98" s="23" t="inlineStr">
        <is>
          <t>Sales</t>
        </is>
      </c>
      <c r="E98" s="15" t="n">
        <v>21359349</v>
      </c>
      <c r="F98" s="15" t="n">
        <v>2314261</v>
      </c>
      <c r="G98" s="15" t="n">
        <v>398057</v>
      </c>
      <c r="H98" s="15">
        <f>E98+F98-G98</f>
        <v/>
      </c>
      <c r="I98" s="23" t="inlineStr">
        <is>
          <t>2026-03</t>
        </is>
      </c>
      <c r="J98" s="23" t="inlineStr">
        <is>
          <t>Normal</t>
        </is>
      </c>
      <c r="K98" s="13" t="inlineStr">
        <is>
          <t>Hợp lệ</t>
        </is>
      </c>
    </row>
    <row r="99">
      <c r="A99" s="24" t="inlineStr">
        <is>
          <t>E098</t>
        </is>
      </c>
      <c r="B99" s="9" t="inlineStr">
        <is>
          <t>Employee_98</t>
        </is>
      </c>
      <c r="C99" s="24" t="inlineStr">
        <is>
          <t>Manager_A</t>
        </is>
      </c>
      <c r="D99" s="24" t="inlineStr">
        <is>
          <t>Operations</t>
        </is>
      </c>
      <c r="E99" s="11" t="n">
        <v>11076049</v>
      </c>
      <c r="F99" s="11" t="n">
        <v>1779272</v>
      </c>
      <c r="G99" s="11" t="n">
        <v>1345751</v>
      </c>
      <c r="H99" s="11">
        <f>E99+F99-G99</f>
        <v/>
      </c>
      <c r="I99" s="24" t="inlineStr">
        <is>
          <t>2026-03</t>
        </is>
      </c>
      <c r="J99" s="24" t="inlineStr">
        <is>
          <t>High_Penalty</t>
        </is>
      </c>
      <c r="K99" s="9" t="inlineStr">
        <is>
          <t>Mức phạt vượt trần cảnh báo</t>
        </is>
      </c>
    </row>
    <row r="100">
      <c r="A100" s="23" t="inlineStr">
        <is>
          <t>E099</t>
        </is>
      </c>
      <c r="B100" s="13" t="inlineStr">
        <is>
          <t>Employee_99</t>
        </is>
      </c>
      <c r="C100" s="23" t="inlineStr">
        <is>
          <t>Manager_A</t>
        </is>
      </c>
      <c r="D100" s="23" t="inlineStr">
        <is>
          <t>Sales</t>
        </is>
      </c>
      <c r="E100" s="15" t="n">
        <v>19190710</v>
      </c>
      <c r="F100" s="15" t="n">
        <v>2043203</v>
      </c>
      <c r="G100" s="15" t="n">
        <v>264081</v>
      </c>
      <c r="H100" s="15">
        <f>E100+F100-G100</f>
        <v/>
      </c>
      <c r="I100" s="23" t="inlineStr">
        <is>
          <t>2026-03</t>
        </is>
      </c>
      <c r="J100" s="23" t="inlineStr">
        <is>
          <t>Normal</t>
        </is>
      </c>
      <c r="K100" s="13" t="inlineStr">
        <is>
          <t>Hợp lệ</t>
        </is>
      </c>
    </row>
    <row r="101">
      <c r="A101" s="24" t="inlineStr">
        <is>
          <t>E100</t>
        </is>
      </c>
      <c r="B101" s="9" t="inlineStr">
        <is>
          <t>Employee_100</t>
        </is>
      </c>
      <c r="C101" s="24" t="inlineStr">
        <is>
          <t>Manager_B</t>
        </is>
      </c>
      <c r="D101" s="24" t="inlineStr">
        <is>
          <t>Sales</t>
        </is>
      </c>
      <c r="E101" s="11" t="n">
        <v>26596127</v>
      </c>
      <c r="F101" s="11" t="n">
        <v>1737761</v>
      </c>
      <c r="G101" s="11" t="n">
        <v>1229734</v>
      </c>
      <c r="H101" s="11">
        <f>E101+F101-G101</f>
        <v/>
      </c>
      <c r="I101" s="24" t="inlineStr">
        <is>
          <t>2026-03</t>
        </is>
      </c>
      <c r="J101" s="24" t="inlineStr">
        <is>
          <t>Normal</t>
        </is>
      </c>
      <c r="K101" s="9" t="inlineStr">
        <is>
          <t>Hợp lệ</t>
        </is>
      </c>
    </row>
    <row r="102">
      <c r="A102" s="23" t="inlineStr">
        <is>
          <t>E101</t>
        </is>
      </c>
      <c r="B102" s="13" t="inlineStr">
        <is>
          <t>Employee_101</t>
        </is>
      </c>
      <c r="C102" s="23" t="inlineStr">
        <is>
          <t>Manager_B</t>
        </is>
      </c>
      <c r="D102" s="23" t="inlineStr">
        <is>
          <t>HR</t>
        </is>
      </c>
      <c r="E102" s="15" t="n">
        <v>19024629</v>
      </c>
      <c r="F102" s="15" t="n">
        <v>1237774</v>
      </c>
      <c r="G102" s="15" t="n">
        <v>1653905</v>
      </c>
      <c r="H102" s="15">
        <f>E102+F102-G102</f>
        <v/>
      </c>
      <c r="I102" s="23" t="inlineStr">
        <is>
          <t>2026-03</t>
        </is>
      </c>
      <c r="J102" s="23" t="inlineStr">
        <is>
          <t>High_Penalty</t>
        </is>
      </c>
      <c r="K102" s="13" t="inlineStr">
        <is>
          <t>Mức phạt vượt trần cảnh báo</t>
        </is>
      </c>
    </row>
    <row r="103">
      <c r="A103" s="24" t="inlineStr">
        <is>
          <t>E102</t>
        </is>
      </c>
      <c r="B103" s="9" t="inlineStr">
        <is>
          <t>Employee_102</t>
        </is>
      </c>
      <c r="C103" s="24" t="inlineStr">
        <is>
          <t>Manager_A</t>
        </is>
      </c>
      <c r="D103" s="24" t="inlineStr">
        <is>
          <t>Finance</t>
        </is>
      </c>
      <c r="E103" s="11" t="n">
        <v>12854922</v>
      </c>
      <c r="F103" s="11" t="n">
        <v>1090453</v>
      </c>
      <c r="G103" s="11" t="n">
        <v>1132913</v>
      </c>
      <c r="H103" s="11">
        <f>E103+F103-G103</f>
        <v/>
      </c>
      <c r="I103" s="24" t="inlineStr">
        <is>
          <t>2026-03</t>
        </is>
      </c>
      <c r="J103" s="24" t="inlineStr">
        <is>
          <t>Normal</t>
        </is>
      </c>
      <c r="K103" s="9" t="inlineStr">
        <is>
          <t>Hợp lệ</t>
        </is>
      </c>
    </row>
    <row r="104">
      <c r="A104" s="23" t="inlineStr">
        <is>
          <t>E103</t>
        </is>
      </c>
      <c r="B104" s="13" t="inlineStr">
        <is>
          <t>Employee_103</t>
        </is>
      </c>
      <c r="C104" s="23" t="inlineStr">
        <is>
          <t>Manager_C</t>
        </is>
      </c>
      <c r="D104" s="23" t="inlineStr">
        <is>
          <t>HR</t>
        </is>
      </c>
      <c r="E104" s="15" t="n">
        <v>11688516</v>
      </c>
      <c r="F104" s="15" t="n">
        <v>216259</v>
      </c>
      <c r="G104" s="15" t="n">
        <v>276411</v>
      </c>
      <c r="H104" s="15">
        <f>E104+F104-G104</f>
        <v/>
      </c>
      <c r="I104" s="23" t="inlineStr">
        <is>
          <t>2026-03</t>
        </is>
      </c>
      <c r="J104" s="23" t="inlineStr">
        <is>
          <t>Normal</t>
        </is>
      </c>
      <c r="K104" s="13" t="inlineStr">
        <is>
          <t>Hợp lệ</t>
        </is>
      </c>
    </row>
    <row r="105">
      <c r="A105" s="24" t="inlineStr">
        <is>
          <t>E104</t>
        </is>
      </c>
      <c r="B105" s="9" t="inlineStr">
        <is>
          <t>Employee_104</t>
        </is>
      </c>
      <c r="C105" s="24" t="inlineStr">
        <is>
          <t>Manager_A</t>
        </is>
      </c>
      <c r="D105" s="24" t="inlineStr">
        <is>
          <t>Finance</t>
        </is>
      </c>
      <c r="E105" s="11" t="n">
        <v>15983659</v>
      </c>
      <c r="F105" s="11" t="n">
        <v>4939656</v>
      </c>
      <c r="G105" s="11" t="n">
        <v>678997</v>
      </c>
      <c r="H105" s="11">
        <f>E105+F105-G105</f>
        <v/>
      </c>
      <c r="I105" s="24" t="inlineStr">
        <is>
          <t>2026-03</t>
        </is>
      </c>
      <c r="J105" s="24" t="inlineStr">
        <is>
          <t>High_Bonus</t>
        </is>
      </c>
      <c r="K105" s="9" t="inlineStr">
        <is>
          <t>Mức thưởng xuất sắc vượt trội</t>
        </is>
      </c>
    </row>
    <row r="106">
      <c r="A106" s="23" t="inlineStr">
        <is>
          <t>E105</t>
        </is>
      </c>
      <c r="B106" s="13" t="inlineStr">
        <is>
          <t>Employee_105</t>
        </is>
      </c>
      <c r="C106" s="23" t="inlineStr">
        <is>
          <t>Manager_A</t>
        </is>
      </c>
      <c r="D106" s="23" t="inlineStr">
        <is>
          <t>HR</t>
        </is>
      </c>
      <c r="E106" s="15" t="n">
        <v>16904256</v>
      </c>
      <c r="F106" s="15" t="n">
        <v>439554</v>
      </c>
      <c r="G106" s="15" t="n">
        <v>265831</v>
      </c>
      <c r="H106" s="15">
        <f>E106+F106-G106</f>
        <v/>
      </c>
      <c r="I106" s="23" t="inlineStr">
        <is>
          <t>2026-03</t>
        </is>
      </c>
      <c r="J106" s="23" t="inlineStr">
        <is>
          <t>Normal</t>
        </is>
      </c>
      <c r="K106" s="13" t="inlineStr">
        <is>
          <t>Hợp lệ</t>
        </is>
      </c>
    </row>
    <row r="107">
      <c r="A107" s="24" t="inlineStr">
        <is>
          <t>E106</t>
        </is>
      </c>
      <c r="B107" s="9" t="inlineStr">
        <is>
          <t>Employee_106</t>
        </is>
      </c>
      <c r="C107" s="24" t="inlineStr">
        <is>
          <t>Manager_D</t>
        </is>
      </c>
      <c r="D107" s="24" t="inlineStr">
        <is>
          <t>Sales</t>
        </is>
      </c>
      <c r="E107" s="11" t="n">
        <v>10132653</v>
      </c>
      <c r="F107" s="11" t="n">
        <v>3995040</v>
      </c>
      <c r="G107" s="11" t="n">
        <v>940101</v>
      </c>
      <c r="H107" s="11">
        <f>E107+F107-G107</f>
        <v/>
      </c>
      <c r="I107" s="24" t="inlineStr">
        <is>
          <t>2026-03</t>
        </is>
      </c>
      <c r="J107" s="24" t="inlineStr">
        <is>
          <t>Normal</t>
        </is>
      </c>
      <c r="K107" s="9" t="inlineStr">
        <is>
          <t>Hợp lệ</t>
        </is>
      </c>
    </row>
    <row r="108">
      <c r="A108" s="23" t="inlineStr">
        <is>
          <t>E107</t>
        </is>
      </c>
      <c r="B108" s="13" t="inlineStr">
        <is>
          <t>Employee_107</t>
        </is>
      </c>
      <c r="C108" s="23" t="inlineStr">
        <is>
          <t>Manager_C</t>
        </is>
      </c>
      <c r="D108" s="23" t="inlineStr">
        <is>
          <t>Sales</t>
        </is>
      </c>
      <c r="E108" s="15" t="n">
        <v>23166785</v>
      </c>
      <c r="F108" s="15" t="n">
        <v>4226505</v>
      </c>
      <c r="G108" s="15" t="n">
        <v>464623</v>
      </c>
      <c r="H108" s="15">
        <f>E108+F108-G108</f>
        <v/>
      </c>
      <c r="I108" s="23" t="inlineStr">
        <is>
          <t>2026-03</t>
        </is>
      </c>
      <c r="J108" s="23" t="inlineStr">
        <is>
          <t>High_Bonus</t>
        </is>
      </c>
      <c r="K108" s="13" t="inlineStr">
        <is>
          <t>Mức thưởng xuất sắc vượt trội</t>
        </is>
      </c>
    </row>
    <row r="109">
      <c r="A109" s="24" t="inlineStr">
        <is>
          <t>E108</t>
        </is>
      </c>
      <c r="B109" s="9" t="inlineStr">
        <is>
          <t>Employee_108</t>
        </is>
      </c>
      <c r="C109" s="24" t="inlineStr">
        <is>
          <t>Manager_A</t>
        </is>
      </c>
      <c r="D109" s="24" t="inlineStr">
        <is>
          <t>Finance</t>
        </is>
      </c>
      <c r="E109" s="11" t="n">
        <v>23369356</v>
      </c>
      <c r="F109" s="11" t="n">
        <v>261310</v>
      </c>
      <c r="G109" s="11" t="n">
        <v>127560</v>
      </c>
      <c r="H109" s="11">
        <f>E109+F109-G109</f>
        <v/>
      </c>
      <c r="I109" s="24" t="inlineStr">
        <is>
          <t>2026-03</t>
        </is>
      </c>
      <c r="J109" s="24" t="inlineStr">
        <is>
          <t>Normal</t>
        </is>
      </c>
      <c r="K109" s="9" t="inlineStr">
        <is>
          <t>Hợp lệ</t>
        </is>
      </c>
    </row>
    <row r="110">
      <c r="A110" s="23" t="inlineStr">
        <is>
          <t>E109</t>
        </is>
      </c>
      <c r="B110" s="13" t="inlineStr">
        <is>
          <t>Employee_109</t>
        </is>
      </c>
      <c r="C110" s="23" t="inlineStr">
        <is>
          <t>Manager_D</t>
        </is>
      </c>
      <c r="D110" s="23" t="inlineStr">
        <is>
          <t>Operations</t>
        </is>
      </c>
      <c r="E110" s="15" t="n">
        <v>22303369</v>
      </c>
      <c r="F110" s="15" t="n">
        <v>905649</v>
      </c>
      <c r="G110" s="15" t="n">
        <v>1028168</v>
      </c>
      <c r="H110" s="15">
        <f>E110+F110-G110</f>
        <v/>
      </c>
      <c r="I110" s="23" t="inlineStr">
        <is>
          <t>2026-03</t>
        </is>
      </c>
      <c r="J110" s="23" t="inlineStr">
        <is>
          <t>Normal</t>
        </is>
      </c>
      <c r="K110" s="13" t="inlineStr">
        <is>
          <t>Hợp lệ</t>
        </is>
      </c>
    </row>
    <row r="111">
      <c r="A111" s="24" t="inlineStr">
        <is>
          <t>E110</t>
        </is>
      </c>
      <c r="B111" s="9" t="inlineStr">
        <is>
          <t>Employee_110</t>
        </is>
      </c>
      <c r="C111" s="24" t="inlineStr">
        <is>
          <t>Manager_D</t>
        </is>
      </c>
      <c r="D111" s="24" t="inlineStr">
        <is>
          <t>Sales</t>
        </is>
      </c>
      <c r="E111" s="11" t="n">
        <v>10710878</v>
      </c>
      <c r="F111" s="11" t="n">
        <v>2702069</v>
      </c>
      <c r="G111" s="11" t="n">
        <v>1275692</v>
      </c>
      <c r="H111" s="11">
        <f>E111+F111-G111</f>
        <v/>
      </c>
      <c r="I111" s="24" t="inlineStr">
        <is>
          <t>2026-03</t>
        </is>
      </c>
      <c r="J111" s="24" t="inlineStr">
        <is>
          <t>High_Penalty</t>
        </is>
      </c>
      <c r="K111" s="9" t="inlineStr">
        <is>
          <t>Mức phạt vượt trần cảnh báo</t>
        </is>
      </c>
    </row>
    <row r="112">
      <c r="A112" s="23" t="inlineStr">
        <is>
          <t>E111</t>
        </is>
      </c>
      <c r="B112" s="13" t="inlineStr">
        <is>
          <t>Employee_111</t>
        </is>
      </c>
      <c r="C112" s="23" t="inlineStr">
        <is>
          <t>Manager_B</t>
        </is>
      </c>
      <c r="D112" s="23" t="inlineStr">
        <is>
          <t>Sales</t>
        </is>
      </c>
      <c r="E112" s="15" t="n">
        <v>12234287</v>
      </c>
      <c r="F112" s="15" t="n">
        <v>2307001</v>
      </c>
      <c r="G112" s="15" t="n">
        <v>1309288</v>
      </c>
      <c r="H112" s="15">
        <f>E112+F112-G112</f>
        <v/>
      </c>
      <c r="I112" s="23" t="inlineStr">
        <is>
          <t>2026-03</t>
        </is>
      </c>
      <c r="J112" s="23" t="inlineStr">
        <is>
          <t>High_Penalty</t>
        </is>
      </c>
      <c r="K112" s="13" t="inlineStr">
        <is>
          <t>Mức phạt vượt trần cảnh báo</t>
        </is>
      </c>
    </row>
    <row r="113">
      <c r="A113" s="24" t="inlineStr">
        <is>
          <t>E112</t>
        </is>
      </c>
      <c r="B113" s="9" t="inlineStr">
        <is>
          <t>Employee_112</t>
        </is>
      </c>
      <c r="C113" s="24" t="inlineStr">
        <is>
          <t>Manager_C</t>
        </is>
      </c>
      <c r="D113" s="24" t="inlineStr">
        <is>
          <t>Operations</t>
        </is>
      </c>
      <c r="E113" s="11" t="n">
        <v>28045144</v>
      </c>
      <c r="F113" s="11" t="n">
        <v>4450633</v>
      </c>
      <c r="G113" s="11" t="n">
        <v>618445</v>
      </c>
      <c r="H113" s="11">
        <f>E113+F113-G113</f>
        <v/>
      </c>
      <c r="I113" s="24" t="inlineStr">
        <is>
          <t>2026-03</t>
        </is>
      </c>
      <c r="J113" s="24" t="inlineStr">
        <is>
          <t>High_Bonus</t>
        </is>
      </c>
      <c r="K113" s="9" t="inlineStr">
        <is>
          <t>Mức thưởng xuất sắc vượt trội</t>
        </is>
      </c>
    </row>
    <row r="114">
      <c r="A114" s="23" t="inlineStr">
        <is>
          <t>E113</t>
        </is>
      </c>
      <c r="B114" s="13" t="inlineStr">
        <is>
          <t>Employee_113</t>
        </is>
      </c>
      <c r="C114" s="23" t="inlineStr">
        <is>
          <t>Manager_D</t>
        </is>
      </c>
      <c r="D114" s="23" t="inlineStr">
        <is>
          <t>Operations</t>
        </is>
      </c>
      <c r="E114" s="15" t="n">
        <v>11327876</v>
      </c>
      <c r="F114" s="15" t="n">
        <v>959774</v>
      </c>
      <c r="G114" s="15" t="n">
        <v>1788435</v>
      </c>
      <c r="H114" s="15">
        <f>E114+F114-G114</f>
        <v/>
      </c>
      <c r="I114" s="23" t="inlineStr">
        <is>
          <t>2026-03</t>
        </is>
      </c>
      <c r="J114" s="23" t="inlineStr">
        <is>
          <t>High_Penalty</t>
        </is>
      </c>
      <c r="K114" s="13" t="inlineStr">
        <is>
          <t>Mức phạt vượt trần cảnh báo</t>
        </is>
      </c>
    </row>
    <row r="115">
      <c r="A115" s="24" t="inlineStr">
        <is>
          <t>E114</t>
        </is>
      </c>
      <c r="B115" s="9" t="inlineStr">
        <is>
          <t>Employee_114</t>
        </is>
      </c>
      <c r="C115" s="24" t="inlineStr">
        <is>
          <t>Manager_B</t>
        </is>
      </c>
      <c r="D115" s="24" t="inlineStr">
        <is>
          <t>Operations</t>
        </is>
      </c>
      <c r="E115" s="11" t="n">
        <v>23151668</v>
      </c>
      <c r="F115" s="11" t="n">
        <v>1916743</v>
      </c>
      <c r="G115" s="11" t="n">
        <v>867829</v>
      </c>
      <c r="H115" s="11">
        <f>E115+F115-G115</f>
        <v/>
      </c>
      <c r="I115" s="24" t="inlineStr">
        <is>
          <t>2026-03</t>
        </is>
      </c>
      <c r="J115" s="24" t="inlineStr">
        <is>
          <t>Normal</t>
        </is>
      </c>
      <c r="K115" s="9" t="inlineStr">
        <is>
          <t>Hợp lệ</t>
        </is>
      </c>
    </row>
    <row r="116">
      <c r="A116" s="23" t="inlineStr">
        <is>
          <t>E115</t>
        </is>
      </c>
      <c r="B116" s="13" t="inlineStr">
        <is>
          <t>Employee_115</t>
        </is>
      </c>
      <c r="C116" s="23" t="inlineStr">
        <is>
          <t>Manager_C</t>
        </is>
      </c>
      <c r="D116" s="23" t="inlineStr">
        <is>
          <t>Operations</t>
        </is>
      </c>
      <c r="E116" s="15" t="n">
        <v>21379164</v>
      </c>
      <c r="F116" s="15" t="n">
        <v>3489574</v>
      </c>
      <c r="G116" s="15" t="n">
        <v>1530108</v>
      </c>
      <c r="H116" s="15">
        <f>E116+F116-G116</f>
        <v/>
      </c>
      <c r="I116" s="23" t="inlineStr">
        <is>
          <t>2026-03</t>
        </is>
      </c>
      <c r="J116" s="23" t="inlineStr">
        <is>
          <t>High_Penalty</t>
        </is>
      </c>
      <c r="K116" s="13" t="inlineStr">
        <is>
          <t>Mức phạt vượt trần cảnh báo</t>
        </is>
      </c>
    </row>
    <row r="117">
      <c r="A117" s="24" t="inlineStr">
        <is>
          <t>E116</t>
        </is>
      </c>
      <c r="B117" s="9" t="inlineStr">
        <is>
          <t>Employee_116</t>
        </is>
      </c>
      <c r="C117" s="24" t="inlineStr">
        <is>
          <t>Manager_A</t>
        </is>
      </c>
      <c r="D117" s="24" t="inlineStr">
        <is>
          <t>Finance</t>
        </is>
      </c>
      <c r="E117" s="11" t="n">
        <v>22319823</v>
      </c>
      <c r="F117" s="11" t="n">
        <v>2621637</v>
      </c>
      <c r="G117" s="11" t="n">
        <v>1394832</v>
      </c>
      <c r="H117" s="11">
        <f>E117+F117-G117</f>
        <v/>
      </c>
      <c r="I117" s="24" t="inlineStr">
        <is>
          <t>2026-03</t>
        </is>
      </c>
      <c r="J117" s="24" t="inlineStr">
        <is>
          <t>Normal</t>
        </is>
      </c>
      <c r="K117" s="9" t="inlineStr">
        <is>
          <t>Hợp lệ</t>
        </is>
      </c>
    </row>
    <row r="118">
      <c r="A118" s="23" t="inlineStr">
        <is>
          <t>E117</t>
        </is>
      </c>
      <c r="B118" s="13" t="inlineStr">
        <is>
          <t>Employee_117</t>
        </is>
      </c>
      <c r="C118" s="23" t="inlineStr">
        <is>
          <t>Manager_C</t>
        </is>
      </c>
      <c r="D118" s="23" t="inlineStr">
        <is>
          <t>Finance</t>
        </is>
      </c>
      <c r="E118" s="15" t="n">
        <v>13121712</v>
      </c>
      <c r="F118" s="15" t="n">
        <v>3978447</v>
      </c>
      <c r="G118" s="15" t="n">
        <v>140788</v>
      </c>
      <c r="H118" s="15">
        <f>E118+F118-G118</f>
        <v/>
      </c>
      <c r="I118" s="23" t="inlineStr">
        <is>
          <t>2026-03</t>
        </is>
      </c>
      <c r="J118" s="23" t="inlineStr">
        <is>
          <t>Normal</t>
        </is>
      </c>
      <c r="K118" s="13" t="inlineStr">
        <is>
          <t>Hợp lệ</t>
        </is>
      </c>
    </row>
    <row r="119">
      <c r="A119" s="24" t="inlineStr">
        <is>
          <t>E118</t>
        </is>
      </c>
      <c r="B119" s="9" t="inlineStr">
        <is>
          <t>Employee_118</t>
        </is>
      </c>
      <c r="C119" s="24" t="inlineStr">
        <is>
          <t>Manager_A</t>
        </is>
      </c>
      <c r="D119" s="24" t="inlineStr">
        <is>
          <t>Sales</t>
        </is>
      </c>
      <c r="E119" s="11" t="n">
        <v>11128283</v>
      </c>
      <c r="F119" s="11" t="n">
        <v>3622842</v>
      </c>
      <c r="G119" s="11" t="n">
        <v>202510</v>
      </c>
      <c r="H119" s="11">
        <f>E119+F119-G119</f>
        <v/>
      </c>
      <c r="I119" s="24" t="inlineStr">
        <is>
          <t>2026-03</t>
        </is>
      </c>
      <c r="J119" s="24" t="inlineStr">
        <is>
          <t>Normal</t>
        </is>
      </c>
      <c r="K119" s="9" t="inlineStr">
        <is>
          <t>Hợp lệ</t>
        </is>
      </c>
    </row>
    <row r="120">
      <c r="A120" s="23" t="inlineStr">
        <is>
          <t>E119</t>
        </is>
      </c>
      <c r="B120" s="13" t="inlineStr">
        <is>
          <t>Employee_119</t>
        </is>
      </c>
      <c r="C120" s="23" t="inlineStr">
        <is>
          <t>Manager_C</t>
        </is>
      </c>
      <c r="D120" s="23" t="inlineStr">
        <is>
          <t>HR</t>
        </is>
      </c>
      <c r="E120" s="15" t="n">
        <v>26668704</v>
      </c>
      <c r="F120" s="15" t="n">
        <v>503156</v>
      </c>
      <c r="G120" s="15" t="n">
        <v>1229906</v>
      </c>
      <c r="H120" s="15">
        <f>E120+F120-G120</f>
        <v/>
      </c>
      <c r="I120" s="23" t="inlineStr">
        <is>
          <t>2026-03</t>
        </is>
      </c>
      <c r="J120" s="23" t="inlineStr">
        <is>
          <t>Normal</t>
        </is>
      </c>
      <c r="K120" s="13" t="inlineStr">
        <is>
          <t>Hợp lệ</t>
        </is>
      </c>
    </row>
    <row r="121">
      <c r="A121" s="24" t="inlineStr">
        <is>
          <t>E120</t>
        </is>
      </c>
      <c r="B121" s="9" t="inlineStr">
        <is>
          <t>Employee_120</t>
        </is>
      </c>
      <c r="C121" s="24" t="inlineStr">
        <is>
          <t>Manager_C</t>
        </is>
      </c>
      <c r="D121" s="24" t="inlineStr">
        <is>
          <t>Sales</t>
        </is>
      </c>
      <c r="E121" s="11" t="n">
        <v>21784450</v>
      </c>
      <c r="F121" s="11" t="n">
        <v>2966195</v>
      </c>
      <c r="G121" s="11" t="n">
        <v>1832087</v>
      </c>
      <c r="H121" s="11">
        <f>E121+F121-G121</f>
        <v/>
      </c>
      <c r="I121" s="24" t="inlineStr">
        <is>
          <t>2026-03</t>
        </is>
      </c>
      <c r="J121" s="24" t="inlineStr">
        <is>
          <t>High_Penalty</t>
        </is>
      </c>
      <c r="K121" s="9" t="inlineStr">
        <is>
          <t>Mức phạt vượt trần cảnh báo</t>
        </is>
      </c>
    </row>
    <row r="122">
      <c r="A122" s="23" t="inlineStr">
        <is>
          <t>E121</t>
        </is>
      </c>
      <c r="B122" s="13" t="inlineStr">
        <is>
          <t>Employee_121</t>
        </is>
      </c>
      <c r="C122" s="23" t="inlineStr">
        <is>
          <t>Manager_D</t>
        </is>
      </c>
      <c r="D122" s="23" t="inlineStr">
        <is>
          <t>Sales</t>
        </is>
      </c>
      <c r="E122" s="15" t="n">
        <v>17651241</v>
      </c>
      <c r="F122" s="15" t="n">
        <v>2621011</v>
      </c>
      <c r="G122" s="15" t="n">
        <v>737455</v>
      </c>
      <c r="H122" s="15">
        <f>E122+F122-G122</f>
        <v/>
      </c>
      <c r="I122" s="23" t="inlineStr">
        <is>
          <t>2026-03</t>
        </is>
      </c>
      <c r="J122" s="23" t="inlineStr">
        <is>
          <t>Normal</t>
        </is>
      </c>
      <c r="K122" s="13" t="inlineStr">
        <is>
          <t>Hợp lệ</t>
        </is>
      </c>
    </row>
    <row r="123">
      <c r="A123" s="24" t="inlineStr">
        <is>
          <t>E122</t>
        </is>
      </c>
      <c r="B123" s="9" t="inlineStr">
        <is>
          <t>Employee_122</t>
        </is>
      </c>
      <c r="C123" s="24" t="inlineStr">
        <is>
          <t>Manager_A</t>
        </is>
      </c>
      <c r="D123" s="24" t="inlineStr">
        <is>
          <t>HR</t>
        </is>
      </c>
      <c r="E123" s="11" t="n">
        <v>13191883</v>
      </c>
      <c r="F123" s="11" t="n">
        <v>4044897</v>
      </c>
      <c r="G123" s="11" t="n">
        <v>470275</v>
      </c>
      <c r="H123" s="11">
        <f>E123+F123-G123</f>
        <v/>
      </c>
      <c r="I123" s="24" t="inlineStr">
        <is>
          <t>2026-03</t>
        </is>
      </c>
      <c r="J123" s="24" t="inlineStr">
        <is>
          <t>High_Bonus</t>
        </is>
      </c>
      <c r="K123" s="9" t="inlineStr">
        <is>
          <t>Mức thưởng xuất sắc vượt trội</t>
        </is>
      </c>
    </row>
    <row r="124">
      <c r="A124" s="23" t="inlineStr">
        <is>
          <t>E123</t>
        </is>
      </c>
      <c r="B124" s="13" t="inlineStr">
        <is>
          <t>Employee_123</t>
        </is>
      </c>
      <c r="C124" s="23" t="inlineStr">
        <is>
          <t>Manager_A</t>
        </is>
      </c>
      <c r="D124" s="23" t="inlineStr">
        <is>
          <t>Finance</t>
        </is>
      </c>
      <c r="E124" s="15" t="n">
        <v>26665172</v>
      </c>
      <c r="F124" s="15" t="n">
        <v>3083325</v>
      </c>
      <c r="G124" s="15" t="n">
        <v>240931</v>
      </c>
      <c r="H124" s="15">
        <f>E124+F124-G124</f>
        <v/>
      </c>
      <c r="I124" s="23" t="inlineStr">
        <is>
          <t>2026-03</t>
        </is>
      </c>
      <c r="J124" s="23" t="inlineStr">
        <is>
          <t>Normal</t>
        </is>
      </c>
      <c r="K124" s="13" t="inlineStr">
        <is>
          <t>Hợp lệ</t>
        </is>
      </c>
    </row>
    <row r="125">
      <c r="A125" s="24" t="inlineStr">
        <is>
          <t>E124</t>
        </is>
      </c>
      <c r="B125" s="9" t="inlineStr">
        <is>
          <t>Employee_124</t>
        </is>
      </c>
      <c r="C125" s="24" t="inlineStr">
        <is>
          <t>Manager_C</t>
        </is>
      </c>
      <c r="D125" s="24" t="inlineStr">
        <is>
          <t>HR</t>
        </is>
      </c>
      <c r="E125" s="11" t="n">
        <v>22398623</v>
      </c>
      <c r="F125" s="11" t="n">
        <v>4705721</v>
      </c>
      <c r="G125" s="11" t="n">
        <v>1609422</v>
      </c>
      <c r="H125" s="11">
        <f>E125+F125-G125</f>
        <v/>
      </c>
      <c r="I125" s="24" t="inlineStr">
        <is>
          <t>2026-03</t>
        </is>
      </c>
      <c r="J125" s="24" t="inlineStr">
        <is>
          <t>Dual_Anomaly</t>
        </is>
      </c>
      <c r="K125" s="9" t="inlineStr">
        <is>
          <t>Thưởng và Phạt đều cao bất thường</t>
        </is>
      </c>
    </row>
    <row r="126">
      <c r="A126" s="23" t="inlineStr">
        <is>
          <t>E125</t>
        </is>
      </c>
      <c r="B126" s="13" t="inlineStr">
        <is>
          <t>Employee_125</t>
        </is>
      </c>
      <c r="C126" s="23" t="inlineStr">
        <is>
          <t>Manager_A</t>
        </is>
      </c>
      <c r="D126" s="23" t="inlineStr">
        <is>
          <t>Finance</t>
        </is>
      </c>
      <c r="E126" s="15" t="n">
        <v>8971507</v>
      </c>
      <c r="F126" s="15" t="n">
        <v>1513439</v>
      </c>
      <c r="G126" s="15" t="n">
        <v>573089</v>
      </c>
      <c r="H126" s="15">
        <f>E126+F126-G126</f>
        <v/>
      </c>
      <c r="I126" s="23" t="inlineStr">
        <is>
          <t>2026-03</t>
        </is>
      </c>
      <c r="J126" s="23" t="inlineStr">
        <is>
          <t>Normal</t>
        </is>
      </c>
      <c r="K126" s="13" t="inlineStr">
        <is>
          <t>Hợp lệ</t>
        </is>
      </c>
    </row>
    <row r="127">
      <c r="A127" s="24" t="inlineStr">
        <is>
          <t>E126</t>
        </is>
      </c>
      <c r="B127" s="9" t="inlineStr">
        <is>
          <t>Employee_126</t>
        </is>
      </c>
      <c r="C127" s="24" t="inlineStr">
        <is>
          <t>Manager_C</t>
        </is>
      </c>
      <c r="D127" s="24" t="inlineStr">
        <is>
          <t>Finance</t>
        </is>
      </c>
      <c r="E127" s="11" t="n">
        <v>19778391</v>
      </c>
      <c r="F127" s="11" t="n">
        <v>51219</v>
      </c>
      <c r="G127" s="11" t="n">
        <v>380435</v>
      </c>
      <c r="H127" s="11">
        <f>E127+F127-G127</f>
        <v/>
      </c>
      <c r="I127" s="24" t="inlineStr">
        <is>
          <t>2026-03</t>
        </is>
      </c>
      <c r="J127" s="24" t="inlineStr">
        <is>
          <t>Normal</t>
        </is>
      </c>
      <c r="K127" s="9" t="inlineStr">
        <is>
          <t>Hợp lệ</t>
        </is>
      </c>
    </row>
    <row r="128">
      <c r="A128" s="23" t="inlineStr">
        <is>
          <t>E127</t>
        </is>
      </c>
      <c r="B128" s="13" t="inlineStr">
        <is>
          <t>Employee_127</t>
        </is>
      </c>
      <c r="C128" s="23" t="inlineStr">
        <is>
          <t>Manager_B</t>
        </is>
      </c>
      <c r="D128" s="23" t="inlineStr">
        <is>
          <t>Operations</t>
        </is>
      </c>
      <c r="E128" s="15" t="n">
        <v>10334899</v>
      </c>
      <c r="F128" s="15" t="n">
        <v>1190130</v>
      </c>
      <c r="G128" s="15" t="n">
        <v>1553924</v>
      </c>
      <c r="H128" s="15">
        <f>E128+F128-G128</f>
        <v/>
      </c>
      <c r="I128" s="23" t="inlineStr">
        <is>
          <t>2026-03</t>
        </is>
      </c>
      <c r="J128" s="23" t="inlineStr">
        <is>
          <t>High_Penalty</t>
        </is>
      </c>
      <c r="K128" s="13" t="inlineStr">
        <is>
          <t>Mức phạt vượt trần cảnh báo</t>
        </is>
      </c>
    </row>
    <row r="129">
      <c r="A129" s="24" t="inlineStr">
        <is>
          <t>E128</t>
        </is>
      </c>
      <c r="B129" s="9" t="inlineStr">
        <is>
          <t>Employee_128</t>
        </is>
      </c>
      <c r="C129" s="24" t="inlineStr">
        <is>
          <t>Manager_A</t>
        </is>
      </c>
      <c r="D129" s="24" t="inlineStr">
        <is>
          <t>Sales</t>
        </is>
      </c>
      <c r="E129" s="11" t="n">
        <v>25800045</v>
      </c>
      <c r="F129" s="11" t="n">
        <v>1804665</v>
      </c>
      <c r="G129" s="11" t="n">
        <v>788936</v>
      </c>
      <c r="H129" s="11">
        <f>E129+F129-G129</f>
        <v/>
      </c>
      <c r="I129" s="24" t="inlineStr">
        <is>
          <t>2026-03</t>
        </is>
      </c>
      <c r="J129" s="24" t="inlineStr">
        <is>
          <t>Normal</t>
        </is>
      </c>
      <c r="K129" s="9" t="inlineStr">
        <is>
          <t>Hợp lệ</t>
        </is>
      </c>
    </row>
    <row r="130">
      <c r="A130" s="23" t="inlineStr">
        <is>
          <t>E129</t>
        </is>
      </c>
      <c r="B130" s="13" t="inlineStr">
        <is>
          <t>Employee_129</t>
        </is>
      </c>
      <c r="C130" s="23" t="inlineStr">
        <is>
          <t>Manager_D</t>
        </is>
      </c>
      <c r="D130" s="23" t="inlineStr">
        <is>
          <t>Operations</t>
        </is>
      </c>
      <c r="E130" s="15" t="n">
        <v>19438571</v>
      </c>
      <c r="F130" s="15" t="n">
        <v>1320444</v>
      </c>
      <c r="G130" s="15" t="n">
        <v>776057</v>
      </c>
      <c r="H130" s="15">
        <f>E130+F130-G130</f>
        <v/>
      </c>
      <c r="I130" s="23" t="inlineStr">
        <is>
          <t>2026-03</t>
        </is>
      </c>
      <c r="J130" s="23" t="inlineStr">
        <is>
          <t>Normal</t>
        </is>
      </c>
      <c r="K130" s="13" t="inlineStr">
        <is>
          <t>Hợp lệ</t>
        </is>
      </c>
    </row>
    <row r="131">
      <c r="A131" s="24" t="inlineStr">
        <is>
          <t>E130</t>
        </is>
      </c>
      <c r="B131" s="9" t="inlineStr">
        <is>
          <t>Employee_130</t>
        </is>
      </c>
      <c r="C131" s="24" t="inlineStr">
        <is>
          <t>Manager_C</t>
        </is>
      </c>
      <c r="D131" s="24" t="inlineStr">
        <is>
          <t>Finance</t>
        </is>
      </c>
      <c r="E131" s="11" t="n">
        <v>27045279</v>
      </c>
      <c r="F131" s="11" t="n">
        <v>712671</v>
      </c>
      <c r="G131" s="11" t="n">
        <v>1852502</v>
      </c>
      <c r="H131" s="11">
        <f>E131+F131-G131</f>
        <v/>
      </c>
      <c r="I131" s="24" t="inlineStr">
        <is>
          <t>2026-03</t>
        </is>
      </c>
      <c r="J131" s="24" t="inlineStr">
        <is>
          <t>High_Penalty</t>
        </is>
      </c>
      <c r="K131" s="9" t="inlineStr">
        <is>
          <t>Mức phạt vượt trần cảnh báo</t>
        </is>
      </c>
    </row>
    <row r="132">
      <c r="A132" s="23" t="inlineStr">
        <is>
          <t>E131</t>
        </is>
      </c>
      <c r="B132" s="13" t="inlineStr">
        <is>
          <t>Employee_131</t>
        </is>
      </c>
      <c r="C132" s="23" t="inlineStr">
        <is>
          <t>Manager_A</t>
        </is>
      </c>
      <c r="D132" s="23" t="inlineStr">
        <is>
          <t>HR</t>
        </is>
      </c>
      <c r="E132" s="15" t="n">
        <v>13281799</v>
      </c>
      <c r="F132" s="15" t="n">
        <v>417438</v>
      </c>
      <c r="G132" s="15" t="n">
        <v>1413414</v>
      </c>
      <c r="H132" s="15">
        <f>E132+F132-G132</f>
        <v/>
      </c>
      <c r="I132" s="23" t="inlineStr">
        <is>
          <t>2026-03</t>
        </is>
      </c>
      <c r="J132" s="23" t="inlineStr">
        <is>
          <t>High_Penalty</t>
        </is>
      </c>
      <c r="K132" s="13" t="inlineStr">
        <is>
          <t>Mức phạt vượt trần cảnh báo</t>
        </is>
      </c>
    </row>
    <row r="133">
      <c r="A133" s="24" t="inlineStr">
        <is>
          <t>E132</t>
        </is>
      </c>
      <c r="B133" s="9" t="inlineStr">
        <is>
          <t>Employee_132</t>
        </is>
      </c>
      <c r="C133" s="24" t="inlineStr">
        <is>
          <t>Manager_A</t>
        </is>
      </c>
      <c r="D133" s="24" t="inlineStr">
        <is>
          <t>Finance</t>
        </is>
      </c>
      <c r="E133" s="11" t="n">
        <v>22868404</v>
      </c>
      <c r="F133" s="11" t="n">
        <v>3556893</v>
      </c>
      <c r="G133" s="11" t="n">
        <v>1018506</v>
      </c>
      <c r="H133" s="11">
        <f>E133+F133-G133</f>
        <v/>
      </c>
      <c r="I133" s="24" t="inlineStr">
        <is>
          <t>2026-03</t>
        </is>
      </c>
      <c r="J133" s="24" t="inlineStr">
        <is>
          <t>Normal</t>
        </is>
      </c>
      <c r="K133" s="9" t="inlineStr">
        <is>
          <t>Hợp lệ</t>
        </is>
      </c>
    </row>
    <row r="134">
      <c r="A134" s="23" t="inlineStr">
        <is>
          <t>E133</t>
        </is>
      </c>
      <c r="B134" s="13" t="inlineStr">
        <is>
          <t>Employee_133</t>
        </is>
      </c>
      <c r="C134" s="23" t="inlineStr">
        <is>
          <t>Manager_D</t>
        </is>
      </c>
      <c r="D134" s="23" t="inlineStr">
        <is>
          <t>Operations</t>
        </is>
      </c>
      <c r="E134" s="15" t="n">
        <v>17165958</v>
      </c>
      <c r="F134" s="15" t="n">
        <v>1808323</v>
      </c>
      <c r="G134" s="15" t="n">
        <v>1583230</v>
      </c>
      <c r="H134" s="15">
        <f>E134+F134-G134</f>
        <v/>
      </c>
      <c r="I134" s="23" t="inlineStr">
        <is>
          <t>2026-03</t>
        </is>
      </c>
      <c r="J134" s="23" t="inlineStr">
        <is>
          <t>High_Penalty</t>
        </is>
      </c>
      <c r="K134" s="13" t="inlineStr">
        <is>
          <t>Mức phạt vượt trần cảnh báo</t>
        </is>
      </c>
    </row>
    <row r="135">
      <c r="A135" s="24" t="inlineStr">
        <is>
          <t>E134</t>
        </is>
      </c>
      <c r="B135" s="9" t="inlineStr">
        <is>
          <t>Employee_134</t>
        </is>
      </c>
      <c r="C135" s="24" t="inlineStr">
        <is>
          <t>Manager_A</t>
        </is>
      </c>
      <c r="D135" s="24" t="inlineStr">
        <is>
          <t>Finance</t>
        </is>
      </c>
      <c r="E135" s="11" t="n">
        <v>22425507</v>
      </c>
      <c r="F135" s="11" t="n">
        <v>930210</v>
      </c>
      <c r="G135" s="11" t="n">
        <v>594010</v>
      </c>
      <c r="H135" s="11">
        <f>E135+F135-G135</f>
        <v/>
      </c>
      <c r="I135" s="24" t="inlineStr">
        <is>
          <t>2026-03</t>
        </is>
      </c>
      <c r="J135" s="24" t="inlineStr">
        <is>
          <t>Normal</t>
        </is>
      </c>
      <c r="K135" s="9" t="inlineStr">
        <is>
          <t>Hợp lệ</t>
        </is>
      </c>
    </row>
    <row r="136">
      <c r="A136" s="23" t="inlineStr">
        <is>
          <t>E135</t>
        </is>
      </c>
      <c r="B136" s="13" t="inlineStr">
        <is>
          <t>Employee_135</t>
        </is>
      </c>
      <c r="C136" s="23" t="inlineStr">
        <is>
          <t>Manager_D</t>
        </is>
      </c>
      <c r="D136" s="23" t="inlineStr">
        <is>
          <t>Finance</t>
        </is>
      </c>
      <c r="E136" s="15" t="n">
        <v>9523953</v>
      </c>
      <c r="F136" s="15" t="n">
        <v>1849842</v>
      </c>
      <c r="G136" s="15" t="n">
        <v>828927</v>
      </c>
      <c r="H136" s="15">
        <f>E136+F136-G136</f>
        <v/>
      </c>
      <c r="I136" s="23" t="inlineStr">
        <is>
          <t>2026-03</t>
        </is>
      </c>
      <c r="J136" s="23" t="inlineStr">
        <is>
          <t>Normal</t>
        </is>
      </c>
      <c r="K136" s="13" t="inlineStr">
        <is>
          <t>Hợp lệ</t>
        </is>
      </c>
    </row>
    <row r="137">
      <c r="A137" s="24" t="inlineStr">
        <is>
          <t>E136</t>
        </is>
      </c>
      <c r="B137" s="9" t="inlineStr">
        <is>
          <t>Employee_136</t>
        </is>
      </c>
      <c r="C137" s="24" t="inlineStr">
        <is>
          <t>Manager_A</t>
        </is>
      </c>
      <c r="D137" s="24" t="inlineStr">
        <is>
          <t>Sales</t>
        </is>
      </c>
      <c r="E137" s="11" t="n">
        <v>14859301</v>
      </c>
      <c r="F137" s="11" t="n">
        <v>2528488</v>
      </c>
      <c r="G137" s="11" t="n">
        <v>1982488</v>
      </c>
      <c r="H137" s="11">
        <f>E137+F137-G137</f>
        <v/>
      </c>
      <c r="I137" s="24" t="inlineStr">
        <is>
          <t>2026-03</t>
        </is>
      </c>
      <c r="J137" s="24" t="inlineStr">
        <is>
          <t>High_Penalty</t>
        </is>
      </c>
      <c r="K137" s="9" t="inlineStr">
        <is>
          <t>Mức phạt vượt trần cảnh báo</t>
        </is>
      </c>
    </row>
    <row r="138">
      <c r="A138" s="23" t="inlineStr">
        <is>
          <t>E137</t>
        </is>
      </c>
      <c r="B138" s="13" t="inlineStr">
        <is>
          <t>Employee_137</t>
        </is>
      </c>
      <c r="C138" s="23" t="inlineStr">
        <is>
          <t>Manager_B</t>
        </is>
      </c>
      <c r="D138" s="23" t="inlineStr">
        <is>
          <t>HR</t>
        </is>
      </c>
      <c r="E138" s="15" t="n">
        <v>16573811</v>
      </c>
      <c r="F138" s="15" t="n">
        <v>2428058</v>
      </c>
      <c r="G138" s="15" t="n">
        <v>688122</v>
      </c>
      <c r="H138" s="15">
        <f>E138+F138-G138</f>
        <v/>
      </c>
      <c r="I138" s="23" t="inlineStr">
        <is>
          <t>2026-03</t>
        </is>
      </c>
      <c r="J138" s="23" t="inlineStr">
        <is>
          <t>Normal</t>
        </is>
      </c>
      <c r="K138" s="13" t="inlineStr">
        <is>
          <t>Hợp lệ</t>
        </is>
      </c>
    </row>
    <row r="139">
      <c r="A139" s="24" t="inlineStr">
        <is>
          <t>E138</t>
        </is>
      </c>
      <c r="B139" s="9" t="inlineStr">
        <is>
          <t>Employee_138</t>
        </is>
      </c>
      <c r="C139" s="24" t="inlineStr">
        <is>
          <t>Manager_A</t>
        </is>
      </c>
      <c r="D139" s="24" t="inlineStr">
        <is>
          <t>Sales</t>
        </is>
      </c>
      <c r="E139" s="11" t="n">
        <v>24689482</v>
      </c>
      <c r="F139" s="11" t="n">
        <v>3612596</v>
      </c>
      <c r="G139" s="11" t="n">
        <v>368458</v>
      </c>
      <c r="H139" s="11">
        <f>E139+F139-G139</f>
        <v/>
      </c>
      <c r="I139" s="24" t="inlineStr">
        <is>
          <t>2026-03</t>
        </is>
      </c>
      <c r="J139" s="24" t="inlineStr">
        <is>
          <t>Normal</t>
        </is>
      </c>
      <c r="K139" s="9" t="inlineStr">
        <is>
          <t>Hợp lệ</t>
        </is>
      </c>
    </row>
    <row r="140">
      <c r="A140" s="23" t="inlineStr">
        <is>
          <t>E139</t>
        </is>
      </c>
      <c r="B140" s="13" t="inlineStr">
        <is>
          <t>Employee_139</t>
        </is>
      </c>
      <c r="C140" s="23" t="inlineStr">
        <is>
          <t>Manager_B</t>
        </is>
      </c>
      <c r="D140" s="23" t="inlineStr">
        <is>
          <t>Operations</t>
        </is>
      </c>
      <c r="E140" s="15" t="n">
        <v>25870498</v>
      </c>
      <c r="F140" s="15" t="n">
        <v>1930308</v>
      </c>
      <c r="G140" s="15" t="n">
        <v>1049126</v>
      </c>
      <c r="H140" s="15">
        <f>E140+F140-G140</f>
        <v/>
      </c>
      <c r="I140" s="23" t="inlineStr">
        <is>
          <t>2026-03</t>
        </is>
      </c>
      <c r="J140" s="23" t="inlineStr">
        <is>
          <t>Normal</t>
        </is>
      </c>
      <c r="K140" s="13" t="inlineStr">
        <is>
          <t>Hợp lệ</t>
        </is>
      </c>
    </row>
    <row r="141">
      <c r="A141" s="24" t="inlineStr">
        <is>
          <t>E140</t>
        </is>
      </c>
      <c r="B141" s="9" t="inlineStr">
        <is>
          <t>Employee_140</t>
        </is>
      </c>
      <c r="C141" s="24" t="inlineStr">
        <is>
          <t>Manager_C</t>
        </is>
      </c>
      <c r="D141" s="24" t="inlineStr">
        <is>
          <t>Sales</t>
        </is>
      </c>
      <c r="E141" s="11" t="n">
        <v>21323497</v>
      </c>
      <c r="F141" s="11" t="n">
        <v>354857</v>
      </c>
      <c r="G141" s="11" t="n">
        <v>914818</v>
      </c>
      <c r="H141" s="11">
        <f>E141+F141-G141</f>
        <v/>
      </c>
      <c r="I141" s="24" t="inlineStr">
        <is>
          <t>2026-03</t>
        </is>
      </c>
      <c r="J141" s="24" t="inlineStr">
        <is>
          <t>Normal</t>
        </is>
      </c>
      <c r="K141" s="9" t="inlineStr">
        <is>
          <t>Hợp lệ</t>
        </is>
      </c>
    </row>
    <row r="142">
      <c r="A142" s="23" t="inlineStr">
        <is>
          <t>E141</t>
        </is>
      </c>
      <c r="B142" s="13" t="inlineStr">
        <is>
          <t>Employee_141</t>
        </is>
      </c>
      <c r="C142" s="23" t="inlineStr">
        <is>
          <t>Manager_A</t>
        </is>
      </c>
      <c r="D142" s="23" t="inlineStr">
        <is>
          <t>Operations</t>
        </is>
      </c>
      <c r="E142" s="15" t="n">
        <v>10612635</v>
      </c>
      <c r="F142" s="15" t="n">
        <v>2626142</v>
      </c>
      <c r="G142" s="15" t="n">
        <v>1207454</v>
      </c>
      <c r="H142" s="15">
        <f>E142+F142-G142</f>
        <v/>
      </c>
      <c r="I142" s="23" t="inlineStr">
        <is>
          <t>2026-03</t>
        </is>
      </c>
      <c r="J142" s="23" t="inlineStr">
        <is>
          <t>High_Penalty</t>
        </is>
      </c>
      <c r="K142" s="13" t="inlineStr">
        <is>
          <t>Mức phạt vượt trần cảnh báo</t>
        </is>
      </c>
    </row>
    <row r="143">
      <c r="A143" s="24" t="inlineStr">
        <is>
          <t>E142</t>
        </is>
      </c>
      <c r="B143" s="9" t="inlineStr">
        <is>
          <t>Employee_142</t>
        </is>
      </c>
      <c r="C143" s="24" t="inlineStr">
        <is>
          <t>Manager_D</t>
        </is>
      </c>
      <c r="D143" s="24" t="inlineStr">
        <is>
          <t>Operations</t>
        </is>
      </c>
      <c r="E143" s="11" t="n">
        <v>29479590</v>
      </c>
      <c r="F143" s="11" t="n">
        <v>3503870</v>
      </c>
      <c r="G143" s="11" t="n">
        <v>607157</v>
      </c>
      <c r="H143" s="11">
        <f>E143+F143-G143</f>
        <v/>
      </c>
      <c r="I143" s="24" t="inlineStr">
        <is>
          <t>2026-03</t>
        </is>
      </c>
      <c r="J143" s="24" t="inlineStr">
        <is>
          <t>Normal</t>
        </is>
      </c>
      <c r="K143" s="9" t="inlineStr">
        <is>
          <t>Hợp lệ</t>
        </is>
      </c>
    </row>
    <row r="144">
      <c r="A144" s="23" t="inlineStr">
        <is>
          <t>E143</t>
        </is>
      </c>
      <c r="B144" s="13" t="inlineStr">
        <is>
          <t>Employee_143</t>
        </is>
      </c>
      <c r="C144" s="23" t="inlineStr">
        <is>
          <t>Manager_A</t>
        </is>
      </c>
      <c r="D144" s="23" t="inlineStr">
        <is>
          <t>Operations</t>
        </is>
      </c>
      <c r="E144" s="15" t="n">
        <v>8699829</v>
      </c>
      <c r="F144" s="15" t="n">
        <v>2724352</v>
      </c>
      <c r="G144" s="15" t="n">
        <v>360444</v>
      </c>
      <c r="H144" s="15">
        <f>E144+F144-G144</f>
        <v/>
      </c>
      <c r="I144" s="23" t="inlineStr">
        <is>
          <t>2026-03</t>
        </is>
      </c>
      <c r="J144" s="23" t="inlineStr">
        <is>
          <t>Normal</t>
        </is>
      </c>
      <c r="K144" s="13" t="inlineStr">
        <is>
          <t>Hợp lệ</t>
        </is>
      </c>
    </row>
    <row r="145">
      <c r="A145" s="24" t="inlineStr">
        <is>
          <t>E144</t>
        </is>
      </c>
      <c r="B145" s="9" t="inlineStr">
        <is>
          <t>Employee_144</t>
        </is>
      </c>
      <c r="C145" s="24" t="inlineStr">
        <is>
          <t>Manager_D</t>
        </is>
      </c>
      <c r="D145" s="24" t="inlineStr">
        <is>
          <t>Finance</t>
        </is>
      </c>
      <c r="E145" s="11" t="n">
        <v>10957148</v>
      </c>
      <c r="F145" s="11" t="n">
        <v>3663403</v>
      </c>
      <c r="G145" s="11" t="n">
        <v>1771012</v>
      </c>
      <c r="H145" s="11">
        <f>E145+F145-G145</f>
        <v/>
      </c>
      <c r="I145" s="24" t="inlineStr">
        <is>
          <t>2026-03</t>
        </is>
      </c>
      <c r="J145" s="24" t="inlineStr">
        <is>
          <t>High_Penalty</t>
        </is>
      </c>
      <c r="K145" s="9" t="inlineStr">
        <is>
          <t>Mức phạt vượt trần cảnh báo</t>
        </is>
      </c>
    </row>
    <row r="146">
      <c r="A146" s="23" t="inlineStr">
        <is>
          <t>E145</t>
        </is>
      </c>
      <c r="B146" s="13" t="inlineStr">
        <is>
          <t>Employee_145</t>
        </is>
      </c>
      <c r="C146" s="23" t="inlineStr">
        <is>
          <t>Manager_A</t>
        </is>
      </c>
      <c r="D146" s="23" t="inlineStr">
        <is>
          <t>HR</t>
        </is>
      </c>
      <c r="E146" s="15" t="n">
        <v>22618878</v>
      </c>
      <c r="F146" s="15" t="n">
        <v>4939810</v>
      </c>
      <c r="G146" s="15" t="n">
        <v>839804</v>
      </c>
      <c r="H146" s="15">
        <f>E146+F146-G146</f>
        <v/>
      </c>
      <c r="I146" s="23" t="inlineStr">
        <is>
          <t>2026-03</t>
        </is>
      </c>
      <c r="J146" s="23" t="inlineStr">
        <is>
          <t>High_Bonus</t>
        </is>
      </c>
      <c r="K146" s="13" t="inlineStr">
        <is>
          <t>Mức thưởng xuất sắc vượt trội</t>
        </is>
      </c>
    </row>
    <row r="147">
      <c r="A147" s="24" t="inlineStr">
        <is>
          <t>E146</t>
        </is>
      </c>
      <c r="B147" s="9" t="inlineStr">
        <is>
          <t>Employee_146</t>
        </is>
      </c>
      <c r="C147" s="24" t="inlineStr">
        <is>
          <t>Manager_A</t>
        </is>
      </c>
      <c r="D147" s="24" t="inlineStr">
        <is>
          <t>Operations</t>
        </is>
      </c>
      <c r="E147" s="11" t="n">
        <v>18411086</v>
      </c>
      <c r="F147" s="11" t="n">
        <v>2848043</v>
      </c>
      <c r="G147" s="11" t="n">
        <v>464670</v>
      </c>
      <c r="H147" s="11">
        <f>E147+F147-G147</f>
        <v/>
      </c>
      <c r="I147" s="24" t="inlineStr">
        <is>
          <t>2026-03</t>
        </is>
      </c>
      <c r="J147" s="24" t="inlineStr">
        <is>
          <t>Normal</t>
        </is>
      </c>
      <c r="K147" s="9" t="inlineStr">
        <is>
          <t>Hợp lệ</t>
        </is>
      </c>
    </row>
    <row r="148">
      <c r="A148" s="23" t="inlineStr">
        <is>
          <t>E147</t>
        </is>
      </c>
      <c r="B148" s="13" t="inlineStr">
        <is>
          <t>Employee_147</t>
        </is>
      </c>
      <c r="C148" s="23" t="inlineStr">
        <is>
          <t>Manager_C</t>
        </is>
      </c>
      <c r="D148" s="23" t="inlineStr">
        <is>
          <t>HR</t>
        </is>
      </c>
      <c r="E148" s="15" t="n">
        <v>10562866</v>
      </c>
      <c r="F148" s="15" t="n">
        <v>4282244</v>
      </c>
      <c r="G148" s="15" t="n">
        <v>1327968</v>
      </c>
      <c r="H148" s="15">
        <f>E148+F148-G148</f>
        <v/>
      </c>
      <c r="I148" s="23" t="inlineStr">
        <is>
          <t>2026-03</t>
        </is>
      </c>
      <c r="J148" s="23" t="inlineStr">
        <is>
          <t>Dual_Anomaly</t>
        </is>
      </c>
      <c r="K148" s="13" t="inlineStr">
        <is>
          <t>Thưởng và Phạt đều cao bất thường</t>
        </is>
      </c>
    </row>
    <row r="149">
      <c r="A149" s="24" t="inlineStr">
        <is>
          <t>E148</t>
        </is>
      </c>
      <c r="B149" s="9" t="inlineStr">
        <is>
          <t>Employee_148</t>
        </is>
      </c>
      <c r="C149" s="24" t="inlineStr">
        <is>
          <t>Manager_A</t>
        </is>
      </c>
      <c r="D149" s="24" t="inlineStr">
        <is>
          <t>HR</t>
        </is>
      </c>
      <c r="E149" s="11" t="n">
        <v>19723088</v>
      </c>
      <c r="F149" s="11" t="n">
        <v>2945238</v>
      </c>
      <c r="G149" s="11" t="n">
        <v>1525424</v>
      </c>
      <c r="H149" s="11">
        <f>E149+F149-G149</f>
        <v/>
      </c>
      <c r="I149" s="24" t="inlineStr">
        <is>
          <t>2026-03</t>
        </is>
      </c>
      <c r="J149" s="24" t="inlineStr">
        <is>
          <t>High_Penalty</t>
        </is>
      </c>
      <c r="K149" s="9" t="inlineStr">
        <is>
          <t>Mức phạt vượt trần cảnh báo</t>
        </is>
      </c>
    </row>
    <row r="150">
      <c r="A150" s="23" t="inlineStr">
        <is>
          <t>E149</t>
        </is>
      </c>
      <c r="B150" s="13" t="inlineStr">
        <is>
          <t>Employee_149</t>
        </is>
      </c>
      <c r="C150" s="23" t="inlineStr">
        <is>
          <t>Manager_B</t>
        </is>
      </c>
      <c r="D150" s="23" t="inlineStr">
        <is>
          <t>HR</t>
        </is>
      </c>
      <c r="E150" s="15" t="n">
        <v>11449547</v>
      </c>
      <c r="F150" s="15" t="n">
        <v>1228463</v>
      </c>
      <c r="G150" s="15" t="n">
        <v>536804</v>
      </c>
      <c r="H150" s="15">
        <f>E150+F150-G150</f>
        <v/>
      </c>
      <c r="I150" s="23" t="inlineStr">
        <is>
          <t>2026-03</t>
        </is>
      </c>
      <c r="J150" s="23" t="inlineStr">
        <is>
          <t>Normal</t>
        </is>
      </c>
      <c r="K150" s="13" t="inlineStr">
        <is>
          <t>Hợp lệ</t>
        </is>
      </c>
    </row>
    <row r="151">
      <c r="A151" s="24" t="inlineStr">
        <is>
          <t>E150</t>
        </is>
      </c>
      <c r="B151" s="9" t="inlineStr">
        <is>
          <t>Employee_150</t>
        </is>
      </c>
      <c r="C151" s="24" t="inlineStr">
        <is>
          <t>Manager_B</t>
        </is>
      </c>
      <c r="D151" s="24" t="inlineStr">
        <is>
          <t>HR</t>
        </is>
      </c>
      <c r="E151" s="11" t="n">
        <v>28213155</v>
      </c>
      <c r="F151" s="11" t="n">
        <v>1282364</v>
      </c>
      <c r="G151" s="11" t="n">
        <v>1594287</v>
      </c>
      <c r="H151" s="11">
        <f>E151+F151-G151</f>
        <v/>
      </c>
      <c r="I151" s="24" t="inlineStr">
        <is>
          <t>2026-03</t>
        </is>
      </c>
      <c r="J151" s="24" t="inlineStr">
        <is>
          <t>High_Penalty</t>
        </is>
      </c>
      <c r="K151" s="9" t="inlineStr">
        <is>
          <t>Mức phạt vượt trần cảnh báo</t>
        </is>
      </c>
    </row>
    <row r="152">
      <c r="A152" s="23" t="inlineStr">
        <is>
          <t>E151</t>
        </is>
      </c>
      <c r="B152" s="13" t="inlineStr">
        <is>
          <t>Employee_151</t>
        </is>
      </c>
      <c r="C152" s="23" t="inlineStr">
        <is>
          <t>Manager_A</t>
        </is>
      </c>
      <c r="D152" s="23" t="inlineStr">
        <is>
          <t>HR</t>
        </is>
      </c>
      <c r="E152" s="15" t="n">
        <v>29070464</v>
      </c>
      <c r="F152" s="15" t="n">
        <v>4144954</v>
      </c>
      <c r="G152" s="15" t="n">
        <v>972980</v>
      </c>
      <c r="H152" s="15">
        <f>E152+F152-G152</f>
        <v/>
      </c>
      <c r="I152" s="23" t="inlineStr">
        <is>
          <t>2026-03</t>
        </is>
      </c>
      <c r="J152" s="23" t="inlineStr">
        <is>
          <t>High_Bonus</t>
        </is>
      </c>
      <c r="K152" s="13" t="inlineStr">
        <is>
          <t>Mức thưởng xuất sắc vượt trội</t>
        </is>
      </c>
    </row>
    <row r="153">
      <c r="A153" s="24" t="inlineStr">
        <is>
          <t>E152</t>
        </is>
      </c>
      <c r="B153" s="9" t="inlineStr">
        <is>
          <t>Employee_152</t>
        </is>
      </c>
      <c r="C153" s="24" t="inlineStr">
        <is>
          <t>Manager_D</t>
        </is>
      </c>
      <c r="D153" s="24" t="inlineStr">
        <is>
          <t>Finance</t>
        </is>
      </c>
      <c r="E153" s="11" t="n">
        <v>29045923</v>
      </c>
      <c r="F153" s="11" t="n">
        <v>2651965</v>
      </c>
      <c r="G153" s="11" t="n">
        <v>316580</v>
      </c>
      <c r="H153" s="11">
        <f>E153+F153-G153</f>
        <v/>
      </c>
      <c r="I153" s="24" t="inlineStr">
        <is>
          <t>2026-03</t>
        </is>
      </c>
      <c r="J153" s="24" t="inlineStr">
        <is>
          <t>Normal</t>
        </is>
      </c>
      <c r="K153" s="9" t="inlineStr">
        <is>
          <t>Hợp lệ</t>
        </is>
      </c>
    </row>
    <row r="154">
      <c r="A154" s="23" t="inlineStr">
        <is>
          <t>E153</t>
        </is>
      </c>
      <c r="B154" s="13" t="inlineStr">
        <is>
          <t>Employee_153</t>
        </is>
      </c>
      <c r="C154" s="23" t="inlineStr">
        <is>
          <t>Manager_D</t>
        </is>
      </c>
      <c r="D154" s="23" t="inlineStr">
        <is>
          <t>Sales</t>
        </is>
      </c>
      <c r="E154" s="15" t="n">
        <v>23734380</v>
      </c>
      <c r="F154" s="15" t="n">
        <v>3709510</v>
      </c>
      <c r="G154" s="15" t="n">
        <v>1324110</v>
      </c>
      <c r="H154" s="15">
        <f>E154+F154-G154</f>
        <v/>
      </c>
      <c r="I154" s="23" t="inlineStr">
        <is>
          <t>2026-03</t>
        </is>
      </c>
      <c r="J154" s="23" t="inlineStr">
        <is>
          <t>Normal</t>
        </is>
      </c>
      <c r="K154" s="13" t="inlineStr">
        <is>
          <t>Hợp lệ</t>
        </is>
      </c>
    </row>
    <row r="155">
      <c r="A155" s="24" t="inlineStr">
        <is>
          <t>E154</t>
        </is>
      </c>
      <c r="B155" s="9" t="inlineStr">
        <is>
          <t>Employee_154</t>
        </is>
      </c>
      <c r="C155" s="24" t="inlineStr">
        <is>
          <t>Manager_C</t>
        </is>
      </c>
      <c r="D155" s="24" t="inlineStr">
        <is>
          <t>Finance</t>
        </is>
      </c>
      <c r="E155" s="11" t="n">
        <v>27844754</v>
      </c>
      <c r="F155" s="11" t="n">
        <v>471205</v>
      </c>
      <c r="G155" s="11" t="n">
        <v>738076</v>
      </c>
      <c r="H155" s="11">
        <f>E155+F155-G155</f>
        <v/>
      </c>
      <c r="I155" s="24" t="inlineStr">
        <is>
          <t>2026-03</t>
        </is>
      </c>
      <c r="J155" s="24" t="inlineStr">
        <is>
          <t>Normal</t>
        </is>
      </c>
      <c r="K155" s="9" t="inlineStr">
        <is>
          <t>Hợp lệ</t>
        </is>
      </c>
    </row>
    <row r="156">
      <c r="A156" s="23" t="inlineStr">
        <is>
          <t>E155</t>
        </is>
      </c>
      <c r="B156" s="13" t="inlineStr">
        <is>
          <t>Employee_155</t>
        </is>
      </c>
      <c r="C156" s="23" t="inlineStr">
        <is>
          <t>Manager_A</t>
        </is>
      </c>
      <c r="D156" s="23" t="inlineStr">
        <is>
          <t>Finance</t>
        </is>
      </c>
      <c r="E156" s="15" t="n">
        <v>23493506</v>
      </c>
      <c r="F156" s="15" t="n">
        <v>3790928</v>
      </c>
      <c r="G156" s="15" t="n">
        <v>78868</v>
      </c>
      <c r="H156" s="15">
        <f>E156+F156-G156</f>
        <v/>
      </c>
      <c r="I156" s="23" t="inlineStr">
        <is>
          <t>2026-03</t>
        </is>
      </c>
      <c r="J156" s="23" t="inlineStr">
        <is>
          <t>Normal</t>
        </is>
      </c>
      <c r="K156" s="13" t="inlineStr">
        <is>
          <t>Hợp lệ</t>
        </is>
      </c>
    </row>
    <row r="157">
      <c r="A157" s="24" t="inlineStr">
        <is>
          <t>E156</t>
        </is>
      </c>
      <c r="B157" s="9" t="inlineStr">
        <is>
          <t>Employee_156</t>
        </is>
      </c>
      <c r="C157" s="24" t="inlineStr">
        <is>
          <t>Manager_A</t>
        </is>
      </c>
      <c r="D157" s="24" t="inlineStr">
        <is>
          <t>Finance</t>
        </is>
      </c>
      <c r="E157" s="11" t="n">
        <v>17632706</v>
      </c>
      <c r="F157" s="11" t="n">
        <v>643666</v>
      </c>
      <c r="G157" s="11" t="n">
        <v>1351963</v>
      </c>
      <c r="H157" s="11">
        <f>E157+F157-G157</f>
        <v/>
      </c>
      <c r="I157" s="24" t="inlineStr">
        <is>
          <t>2026-03</t>
        </is>
      </c>
      <c r="J157" s="24" t="inlineStr">
        <is>
          <t>Normal</t>
        </is>
      </c>
      <c r="K157" s="9" t="inlineStr">
        <is>
          <t>Hợp lệ</t>
        </is>
      </c>
    </row>
    <row r="158">
      <c r="A158" s="23" t="inlineStr">
        <is>
          <t>E157</t>
        </is>
      </c>
      <c r="B158" s="13" t="inlineStr">
        <is>
          <t>Employee_157</t>
        </is>
      </c>
      <c r="C158" s="23" t="inlineStr">
        <is>
          <t>Manager_A</t>
        </is>
      </c>
      <c r="D158" s="23" t="inlineStr">
        <is>
          <t>Operations</t>
        </is>
      </c>
      <c r="E158" s="15" t="n">
        <v>23526026</v>
      </c>
      <c r="F158" s="15" t="n">
        <v>4868155</v>
      </c>
      <c r="G158" s="15" t="n">
        <v>1162485</v>
      </c>
      <c r="H158" s="15">
        <f>E158+F158-G158</f>
        <v/>
      </c>
      <c r="I158" s="23" t="inlineStr">
        <is>
          <t>2026-03</t>
        </is>
      </c>
      <c r="J158" s="23" t="inlineStr">
        <is>
          <t>High_Bonus</t>
        </is>
      </c>
      <c r="K158" s="13" t="inlineStr">
        <is>
          <t>Mức thưởng xuất sắc vượt trội</t>
        </is>
      </c>
    </row>
    <row r="159">
      <c r="A159" s="24" t="inlineStr">
        <is>
          <t>E158</t>
        </is>
      </c>
      <c r="B159" s="9" t="inlineStr">
        <is>
          <t>Employee_158</t>
        </is>
      </c>
      <c r="C159" s="24" t="inlineStr">
        <is>
          <t>Manager_A</t>
        </is>
      </c>
      <c r="D159" s="24" t="inlineStr">
        <is>
          <t>Operations</t>
        </is>
      </c>
      <c r="E159" s="11" t="n">
        <v>27181615</v>
      </c>
      <c r="F159" s="11" t="n">
        <v>1579067</v>
      </c>
      <c r="G159" s="11" t="n">
        <v>674290</v>
      </c>
      <c r="H159" s="11">
        <f>E159+F159-G159</f>
        <v/>
      </c>
      <c r="I159" s="24" t="inlineStr">
        <is>
          <t>2026-03</t>
        </is>
      </c>
      <c r="J159" s="24" t="inlineStr">
        <is>
          <t>Normal</t>
        </is>
      </c>
      <c r="K159" s="9" t="inlineStr">
        <is>
          <t>Hợp lệ</t>
        </is>
      </c>
    </row>
    <row r="160">
      <c r="A160" s="23" t="inlineStr">
        <is>
          <t>E159</t>
        </is>
      </c>
      <c r="B160" s="13" t="inlineStr">
        <is>
          <t>Employee_159</t>
        </is>
      </c>
      <c r="C160" s="23" t="inlineStr">
        <is>
          <t>Manager_D</t>
        </is>
      </c>
      <c r="D160" s="23" t="inlineStr">
        <is>
          <t>HR</t>
        </is>
      </c>
      <c r="E160" s="15" t="n">
        <v>10076136</v>
      </c>
      <c r="F160" s="15" t="n">
        <v>3779261</v>
      </c>
      <c r="G160" s="15" t="n">
        <v>217059</v>
      </c>
      <c r="H160" s="15">
        <f>E160+F160-G160</f>
        <v/>
      </c>
      <c r="I160" s="23" t="inlineStr">
        <is>
          <t>2026-03</t>
        </is>
      </c>
      <c r="J160" s="23" t="inlineStr">
        <is>
          <t>Normal</t>
        </is>
      </c>
      <c r="K160" s="13" t="inlineStr">
        <is>
          <t>Hợp lệ</t>
        </is>
      </c>
    </row>
    <row r="161">
      <c r="A161" s="24" t="inlineStr">
        <is>
          <t>E160</t>
        </is>
      </c>
      <c r="B161" s="9" t="inlineStr">
        <is>
          <t>Employee_160</t>
        </is>
      </c>
      <c r="C161" s="24" t="inlineStr">
        <is>
          <t>Manager_C</t>
        </is>
      </c>
      <c r="D161" s="24" t="inlineStr">
        <is>
          <t>Sales</t>
        </is>
      </c>
      <c r="E161" s="11" t="n">
        <v>24929855</v>
      </c>
      <c r="F161" s="11" t="n">
        <v>1447529</v>
      </c>
      <c r="G161" s="11" t="n">
        <v>82086</v>
      </c>
      <c r="H161" s="11">
        <f>E161+F161-G161</f>
        <v/>
      </c>
      <c r="I161" s="24" t="inlineStr">
        <is>
          <t>2026-03</t>
        </is>
      </c>
      <c r="J161" s="24" t="inlineStr">
        <is>
          <t>Normal</t>
        </is>
      </c>
      <c r="K161" s="9" t="inlineStr">
        <is>
          <t>Hợp lệ</t>
        </is>
      </c>
    </row>
    <row r="162">
      <c r="A162" s="23" t="inlineStr">
        <is>
          <t>E161</t>
        </is>
      </c>
      <c r="B162" s="13" t="inlineStr">
        <is>
          <t>Employee_161</t>
        </is>
      </c>
      <c r="C162" s="23" t="inlineStr">
        <is>
          <t>Manager_B</t>
        </is>
      </c>
      <c r="D162" s="23" t="inlineStr">
        <is>
          <t>Operations</t>
        </is>
      </c>
      <c r="E162" s="15" t="n">
        <v>22744548</v>
      </c>
      <c r="F162" s="15" t="n">
        <v>4396205</v>
      </c>
      <c r="G162" s="15" t="n">
        <v>1096282</v>
      </c>
      <c r="H162" s="15">
        <f>E162+F162-G162</f>
        <v/>
      </c>
      <c r="I162" s="23" t="inlineStr">
        <is>
          <t>2026-03</t>
        </is>
      </c>
      <c r="J162" s="23" t="inlineStr">
        <is>
          <t>High_Bonus</t>
        </is>
      </c>
      <c r="K162" s="13" t="inlineStr">
        <is>
          <t>Mức thưởng xuất sắc vượt trội</t>
        </is>
      </c>
    </row>
    <row r="163">
      <c r="A163" s="24" t="inlineStr">
        <is>
          <t>E162</t>
        </is>
      </c>
      <c r="B163" s="9" t="inlineStr">
        <is>
          <t>Employee_162</t>
        </is>
      </c>
      <c r="C163" s="24" t="inlineStr">
        <is>
          <t>Manager_B</t>
        </is>
      </c>
      <c r="D163" s="24" t="inlineStr">
        <is>
          <t>Finance</t>
        </is>
      </c>
      <c r="E163" s="11" t="n">
        <v>20510836</v>
      </c>
      <c r="F163" s="11" t="n">
        <v>2373083</v>
      </c>
      <c r="G163" s="11" t="n">
        <v>812471</v>
      </c>
      <c r="H163" s="11">
        <f>E163+F163-G163</f>
        <v/>
      </c>
      <c r="I163" s="24" t="inlineStr">
        <is>
          <t>2026-03</t>
        </is>
      </c>
      <c r="J163" s="24" t="inlineStr">
        <is>
          <t>Normal</t>
        </is>
      </c>
      <c r="K163" s="9" t="inlineStr">
        <is>
          <t>Hợp lệ</t>
        </is>
      </c>
    </row>
    <row r="164">
      <c r="A164" s="23" t="inlineStr">
        <is>
          <t>E163</t>
        </is>
      </c>
      <c r="B164" s="13" t="inlineStr">
        <is>
          <t>Employee_163</t>
        </is>
      </c>
      <c r="C164" s="23" t="inlineStr">
        <is>
          <t>Manager_D</t>
        </is>
      </c>
      <c r="D164" s="23" t="inlineStr">
        <is>
          <t>Finance</t>
        </is>
      </c>
      <c r="E164" s="15" t="n">
        <v>28061720</v>
      </c>
      <c r="F164" s="15" t="n">
        <v>439273</v>
      </c>
      <c r="G164" s="15" t="n">
        <v>1655128</v>
      </c>
      <c r="H164" s="15">
        <f>E164+F164-G164</f>
        <v/>
      </c>
      <c r="I164" s="23" t="inlineStr">
        <is>
          <t>2026-03</t>
        </is>
      </c>
      <c r="J164" s="23" t="inlineStr">
        <is>
          <t>High_Penalty</t>
        </is>
      </c>
      <c r="K164" s="13" t="inlineStr">
        <is>
          <t>Mức phạt vượt trần cảnh báo</t>
        </is>
      </c>
    </row>
    <row r="165">
      <c r="A165" s="24" t="inlineStr">
        <is>
          <t>E164</t>
        </is>
      </c>
      <c r="B165" s="9" t="inlineStr">
        <is>
          <t>Employee_164</t>
        </is>
      </c>
      <c r="C165" s="24" t="inlineStr">
        <is>
          <t>Manager_C</t>
        </is>
      </c>
      <c r="D165" s="24" t="inlineStr">
        <is>
          <t>Sales</t>
        </is>
      </c>
      <c r="E165" s="11" t="n">
        <v>19062586</v>
      </c>
      <c r="F165" s="11" t="n">
        <v>792773</v>
      </c>
      <c r="G165" s="11" t="n">
        <v>1170133</v>
      </c>
      <c r="H165" s="11">
        <f>E165+F165-G165</f>
        <v/>
      </c>
      <c r="I165" s="24" t="inlineStr">
        <is>
          <t>2026-03</t>
        </is>
      </c>
      <c r="J165" s="24" t="inlineStr">
        <is>
          <t>Normal</t>
        </is>
      </c>
      <c r="K165" s="9" t="inlineStr">
        <is>
          <t>Hợp lệ</t>
        </is>
      </c>
    </row>
    <row r="166">
      <c r="A166" s="23" t="inlineStr">
        <is>
          <t>E165</t>
        </is>
      </c>
      <c r="B166" s="13" t="inlineStr">
        <is>
          <t>Employee_165</t>
        </is>
      </c>
      <c r="C166" s="23" t="inlineStr">
        <is>
          <t>Manager_D</t>
        </is>
      </c>
      <c r="D166" s="23" t="inlineStr">
        <is>
          <t>Finance</t>
        </is>
      </c>
      <c r="E166" s="15" t="n">
        <v>16455575</v>
      </c>
      <c r="F166" s="15" t="n">
        <v>1261422</v>
      </c>
      <c r="G166" s="15" t="n">
        <v>699110</v>
      </c>
      <c r="H166" s="15">
        <f>E166+F166-G166</f>
        <v/>
      </c>
      <c r="I166" s="23" t="inlineStr">
        <is>
          <t>2026-03</t>
        </is>
      </c>
      <c r="J166" s="23" t="inlineStr">
        <is>
          <t>Normal</t>
        </is>
      </c>
      <c r="K166" s="13" t="inlineStr">
        <is>
          <t>Hợp lệ</t>
        </is>
      </c>
    </row>
    <row r="167">
      <c r="A167" s="24" t="inlineStr">
        <is>
          <t>E166</t>
        </is>
      </c>
      <c r="B167" s="9" t="inlineStr">
        <is>
          <t>Employee_166</t>
        </is>
      </c>
      <c r="C167" s="24" t="inlineStr">
        <is>
          <t>Manager_A</t>
        </is>
      </c>
      <c r="D167" s="24" t="inlineStr">
        <is>
          <t>HR</t>
        </is>
      </c>
      <c r="E167" s="11" t="n">
        <v>19738037</v>
      </c>
      <c r="F167" s="11" t="n">
        <v>2602412</v>
      </c>
      <c r="G167" s="11" t="n">
        <v>1375846</v>
      </c>
      <c r="H167" s="11">
        <f>E167+F167-G167</f>
        <v/>
      </c>
      <c r="I167" s="24" t="inlineStr">
        <is>
          <t>2026-03</t>
        </is>
      </c>
      <c r="J167" s="24" t="inlineStr">
        <is>
          <t>Normal</t>
        </is>
      </c>
      <c r="K167" s="9" t="inlineStr">
        <is>
          <t>Hợp lệ</t>
        </is>
      </c>
    </row>
    <row r="168">
      <c r="A168" s="23" t="inlineStr">
        <is>
          <t>E167</t>
        </is>
      </c>
      <c r="B168" s="13" t="inlineStr">
        <is>
          <t>Employee_167</t>
        </is>
      </c>
      <c r="C168" s="23" t="inlineStr">
        <is>
          <t>Manager_D</t>
        </is>
      </c>
      <c r="D168" s="23" t="inlineStr">
        <is>
          <t>HR</t>
        </is>
      </c>
      <c r="E168" s="15" t="n">
        <v>27966270</v>
      </c>
      <c r="F168" s="15" t="n">
        <v>710674</v>
      </c>
      <c r="G168" s="15" t="n">
        <v>649240</v>
      </c>
      <c r="H168" s="15">
        <f>E168+F168-G168</f>
        <v/>
      </c>
      <c r="I168" s="23" t="inlineStr">
        <is>
          <t>2026-03</t>
        </is>
      </c>
      <c r="J168" s="23" t="inlineStr">
        <is>
          <t>Normal</t>
        </is>
      </c>
      <c r="K168" s="13" t="inlineStr">
        <is>
          <t>Hợp lệ</t>
        </is>
      </c>
    </row>
    <row r="169">
      <c r="A169" s="24" t="inlineStr">
        <is>
          <t>E168</t>
        </is>
      </c>
      <c r="B169" s="9" t="inlineStr">
        <is>
          <t>Employee_168</t>
        </is>
      </c>
      <c r="C169" s="24" t="inlineStr">
        <is>
          <t>Manager_D</t>
        </is>
      </c>
      <c r="D169" s="24" t="inlineStr">
        <is>
          <t>Finance</t>
        </is>
      </c>
      <c r="E169" s="11" t="n">
        <v>12288047</v>
      </c>
      <c r="F169" s="11" t="n">
        <v>4415707</v>
      </c>
      <c r="G169" s="11" t="n">
        <v>195985</v>
      </c>
      <c r="H169" s="11">
        <f>E169+F169-G169</f>
        <v/>
      </c>
      <c r="I169" s="24" t="inlineStr">
        <is>
          <t>2026-03</t>
        </is>
      </c>
      <c r="J169" s="24" t="inlineStr">
        <is>
          <t>High_Bonus</t>
        </is>
      </c>
      <c r="K169" s="9" t="inlineStr">
        <is>
          <t>Mức thưởng xuất sắc vượt trội</t>
        </is>
      </c>
    </row>
    <row r="170">
      <c r="A170" s="23" t="inlineStr">
        <is>
          <t>E169</t>
        </is>
      </c>
      <c r="B170" s="13" t="inlineStr">
        <is>
          <t>Employee_169</t>
        </is>
      </c>
      <c r="C170" s="23" t="inlineStr">
        <is>
          <t>Manager_D</t>
        </is>
      </c>
      <c r="D170" s="23" t="inlineStr">
        <is>
          <t>Finance</t>
        </is>
      </c>
      <c r="E170" s="15" t="n">
        <v>8611715</v>
      </c>
      <c r="F170" s="15" t="n">
        <v>3041689</v>
      </c>
      <c r="G170" s="15" t="n">
        <v>647739</v>
      </c>
      <c r="H170" s="15">
        <f>E170+F170-G170</f>
        <v/>
      </c>
      <c r="I170" s="23" t="inlineStr">
        <is>
          <t>2026-03</t>
        </is>
      </c>
      <c r="J170" s="23" t="inlineStr">
        <is>
          <t>Normal</t>
        </is>
      </c>
      <c r="K170" s="13" t="inlineStr">
        <is>
          <t>Hợp lệ</t>
        </is>
      </c>
    </row>
    <row r="171">
      <c r="A171" s="24" t="inlineStr">
        <is>
          <t>E170</t>
        </is>
      </c>
      <c r="B171" s="9" t="inlineStr">
        <is>
          <t>Employee_170</t>
        </is>
      </c>
      <c r="C171" s="24" t="inlineStr">
        <is>
          <t>Manager_B</t>
        </is>
      </c>
      <c r="D171" s="24" t="inlineStr">
        <is>
          <t>HR</t>
        </is>
      </c>
      <c r="E171" s="11" t="n">
        <v>19466634</v>
      </c>
      <c r="F171" s="11" t="n">
        <v>4079136</v>
      </c>
      <c r="G171" s="11" t="n">
        <v>402664</v>
      </c>
      <c r="H171" s="11">
        <f>E171+F171-G171</f>
        <v/>
      </c>
      <c r="I171" s="24" t="inlineStr">
        <is>
          <t>2026-03</t>
        </is>
      </c>
      <c r="J171" s="24" t="inlineStr">
        <is>
          <t>High_Bonus</t>
        </is>
      </c>
      <c r="K171" s="9" t="inlineStr">
        <is>
          <t>Mức thưởng xuất sắc vượt trội</t>
        </is>
      </c>
    </row>
    <row r="172">
      <c r="A172" s="23" t="inlineStr">
        <is>
          <t>E171</t>
        </is>
      </c>
      <c r="B172" s="13" t="inlineStr">
        <is>
          <t>Employee_171</t>
        </is>
      </c>
      <c r="C172" s="23" t="inlineStr">
        <is>
          <t>Manager_B</t>
        </is>
      </c>
      <c r="D172" s="23" t="inlineStr">
        <is>
          <t>HR</t>
        </is>
      </c>
      <c r="E172" s="15" t="n">
        <v>13199097</v>
      </c>
      <c r="F172" s="15" t="n">
        <v>647307</v>
      </c>
      <c r="G172" s="15" t="n">
        <v>620320</v>
      </c>
      <c r="H172" s="15">
        <f>E172+F172-G172</f>
        <v/>
      </c>
      <c r="I172" s="23" t="inlineStr">
        <is>
          <t>2026-03</t>
        </is>
      </c>
      <c r="J172" s="23" t="inlineStr">
        <is>
          <t>Normal</t>
        </is>
      </c>
      <c r="K172" s="13" t="inlineStr">
        <is>
          <t>Hợp lệ</t>
        </is>
      </c>
    </row>
    <row r="173">
      <c r="A173" s="24" t="inlineStr">
        <is>
          <t>E172</t>
        </is>
      </c>
      <c r="B173" s="9" t="inlineStr">
        <is>
          <t>Employee_172</t>
        </is>
      </c>
      <c r="C173" s="24" t="inlineStr">
        <is>
          <t>Manager_A</t>
        </is>
      </c>
      <c r="D173" s="24" t="inlineStr">
        <is>
          <t>Sales</t>
        </is>
      </c>
      <c r="E173" s="11" t="n">
        <v>19299937</v>
      </c>
      <c r="F173" s="11" t="n">
        <v>1099319</v>
      </c>
      <c r="G173" s="11" t="n">
        <v>1252516</v>
      </c>
      <c r="H173" s="11">
        <f>E173+F173-G173</f>
        <v/>
      </c>
      <c r="I173" s="24" t="inlineStr">
        <is>
          <t>2026-03</t>
        </is>
      </c>
      <c r="J173" s="24" t="inlineStr">
        <is>
          <t>Normal</t>
        </is>
      </c>
      <c r="K173" s="9" t="inlineStr">
        <is>
          <t>Hợp lệ</t>
        </is>
      </c>
    </row>
    <row r="174">
      <c r="A174" s="23" t="inlineStr">
        <is>
          <t>E173</t>
        </is>
      </c>
      <c r="B174" s="13" t="inlineStr">
        <is>
          <t>Employee_173</t>
        </is>
      </c>
      <c r="C174" s="23" t="inlineStr">
        <is>
          <t>Manager_D</t>
        </is>
      </c>
      <c r="D174" s="23" t="inlineStr">
        <is>
          <t>HR</t>
        </is>
      </c>
      <c r="E174" s="15" t="n">
        <v>13444113</v>
      </c>
      <c r="F174" s="15" t="n">
        <v>1517045</v>
      </c>
      <c r="G174" s="15" t="n">
        <v>1743456</v>
      </c>
      <c r="H174" s="15">
        <f>E174+F174-G174</f>
        <v/>
      </c>
      <c r="I174" s="23" t="inlineStr">
        <is>
          <t>2026-03</t>
        </is>
      </c>
      <c r="J174" s="23" t="inlineStr">
        <is>
          <t>High_Penalty</t>
        </is>
      </c>
      <c r="K174" s="13" t="inlineStr">
        <is>
          <t>Mức phạt vượt trần cảnh báo</t>
        </is>
      </c>
    </row>
    <row r="175">
      <c r="A175" s="24" t="inlineStr">
        <is>
          <t>E174</t>
        </is>
      </c>
      <c r="B175" s="9" t="inlineStr">
        <is>
          <t>Employee_174</t>
        </is>
      </c>
      <c r="C175" s="24" t="inlineStr">
        <is>
          <t>Manager_B</t>
        </is>
      </c>
      <c r="D175" s="24" t="inlineStr">
        <is>
          <t>Operations</t>
        </is>
      </c>
      <c r="E175" s="11" t="n">
        <v>9466074</v>
      </c>
      <c r="F175" s="11" t="n">
        <v>3446531</v>
      </c>
      <c r="G175" s="11" t="n">
        <v>763991</v>
      </c>
      <c r="H175" s="11">
        <f>E175+F175-G175</f>
        <v/>
      </c>
      <c r="I175" s="24" t="inlineStr">
        <is>
          <t>2026-03</t>
        </is>
      </c>
      <c r="J175" s="24" t="inlineStr">
        <is>
          <t>Normal</t>
        </is>
      </c>
      <c r="K175" s="9" t="inlineStr">
        <is>
          <t>Hợp lệ</t>
        </is>
      </c>
    </row>
    <row r="176">
      <c r="A176" s="23" t="inlineStr">
        <is>
          <t>E175</t>
        </is>
      </c>
      <c r="B176" s="13" t="inlineStr">
        <is>
          <t>Employee_175</t>
        </is>
      </c>
      <c r="C176" s="23" t="inlineStr">
        <is>
          <t>Manager_B</t>
        </is>
      </c>
      <c r="D176" s="23" t="inlineStr">
        <is>
          <t>Operations</t>
        </is>
      </c>
      <c r="E176" s="15" t="n">
        <v>28488182</v>
      </c>
      <c r="F176" s="15" t="n">
        <v>2390148</v>
      </c>
      <c r="G176" s="15" t="n">
        <v>1577878</v>
      </c>
      <c r="H176" s="15">
        <f>E176+F176-G176</f>
        <v/>
      </c>
      <c r="I176" s="23" t="inlineStr">
        <is>
          <t>2026-03</t>
        </is>
      </c>
      <c r="J176" s="23" t="inlineStr">
        <is>
          <t>High_Penalty</t>
        </is>
      </c>
      <c r="K176" s="13" t="inlineStr">
        <is>
          <t>Mức phạt vượt trần cảnh báo</t>
        </is>
      </c>
    </row>
    <row r="177">
      <c r="A177" s="24" t="inlineStr">
        <is>
          <t>E176</t>
        </is>
      </c>
      <c r="B177" s="9" t="inlineStr">
        <is>
          <t>Employee_176</t>
        </is>
      </c>
      <c r="C177" s="24" t="inlineStr">
        <is>
          <t>Manager_D</t>
        </is>
      </c>
      <c r="D177" s="24" t="inlineStr">
        <is>
          <t>HR</t>
        </is>
      </c>
      <c r="E177" s="11" t="n">
        <v>25918440</v>
      </c>
      <c r="F177" s="11" t="n">
        <v>2006290</v>
      </c>
      <c r="G177" s="11" t="n">
        <v>649001</v>
      </c>
      <c r="H177" s="11">
        <f>E177+F177-G177</f>
        <v/>
      </c>
      <c r="I177" s="24" t="inlineStr">
        <is>
          <t>2026-03</t>
        </is>
      </c>
      <c r="J177" s="24" t="inlineStr">
        <is>
          <t>Normal</t>
        </is>
      </c>
      <c r="K177" s="9" t="inlineStr">
        <is>
          <t>Hợp lệ</t>
        </is>
      </c>
    </row>
    <row r="178">
      <c r="A178" s="23" t="inlineStr">
        <is>
          <t>E177</t>
        </is>
      </c>
      <c r="B178" s="13" t="inlineStr">
        <is>
          <t>Employee_177</t>
        </is>
      </c>
      <c r="C178" s="23" t="inlineStr">
        <is>
          <t>Manager_D</t>
        </is>
      </c>
      <c r="D178" s="23" t="inlineStr">
        <is>
          <t>HR</t>
        </is>
      </c>
      <c r="E178" s="15" t="n">
        <v>20342694</v>
      </c>
      <c r="F178" s="15" t="n">
        <v>4785024</v>
      </c>
      <c r="G178" s="15" t="n">
        <v>923999</v>
      </c>
      <c r="H178" s="15">
        <f>E178+F178-G178</f>
        <v/>
      </c>
      <c r="I178" s="23" t="inlineStr">
        <is>
          <t>2026-03</t>
        </is>
      </c>
      <c r="J178" s="23" t="inlineStr">
        <is>
          <t>High_Bonus</t>
        </is>
      </c>
      <c r="K178" s="13" t="inlineStr">
        <is>
          <t>Mức thưởng xuất sắc vượt trội</t>
        </is>
      </c>
    </row>
    <row r="179">
      <c r="A179" s="24" t="inlineStr">
        <is>
          <t>E178</t>
        </is>
      </c>
      <c r="B179" s="9" t="inlineStr">
        <is>
          <t>Employee_178</t>
        </is>
      </c>
      <c r="C179" s="24" t="inlineStr">
        <is>
          <t>Manager_D</t>
        </is>
      </c>
      <c r="D179" s="24" t="inlineStr">
        <is>
          <t>Finance</t>
        </is>
      </c>
      <c r="E179" s="11" t="n">
        <v>20813512</v>
      </c>
      <c r="F179" s="11" t="n">
        <v>4218687</v>
      </c>
      <c r="G179" s="11" t="n">
        <v>1106163</v>
      </c>
      <c r="H179" s="11">
        <f>E179+F179-G179</f>
        <v/>
      </c>
      <c r="I179" s="24" t="inlineStr">
        <is>
          <t>2026-03</t>
        </is>
      </c>
      <c r="J179" s="24" t="inlineStr">
        <is>
          <t>High_Bonus</t>
        </is>
      </c>
      <c r="K179" s="9" t="inlineStr">
        <is>
          <t>Mức thưởng xuất sắc vượt trội</t>
        </is>
      </c>
    </row>
    <row r="180">
      <c r="A180" s="23" t="inlineStr">
        <is>
          <t>E179</t>
        </is>
      </c>
      <c r="B180" s="13" t="inlineStr">
        <is>
          <t>Employee_179</t>
        </is>
      </c>
      <c r="C180" s="23" t="inlineStr">
        <is>
          <t>Manager_D</t>
        </is>
      </c>
      <c r="D180" s="23" t="inlineStr">
        <is>
          <t>HR</t>
        </is>
      </c>
      <c r="E180" s="15" t="n">
        <v>14700743</v>
      </c>
      <c r="F180" s="15" t="n">
        <v>1160971</v>
      </c>
      <c r="G180" s="15" t="n">
        <v>1830817</v>
      </c>
      <c r="H180" s="15">
        <f>E180+F180-G180</f>
        <v/>
      </c>
      <c r="I180" s="23" t="inlineStr">
        <is>
          <t>2026-03</t>
        </is>
      </c>
      <c r="J180" s="23" t="inlineStr">
        <is>
          <t>High_Penalty</t>
        </is>
      </c>
      <c r="K180" s="13" t="inlineStr">
        <is>
          <t>Mức phạt vượt trần cảnh báo</t>
        </is>
      </c>
    </row>
    <row r="181">
      <c r="A181" s="24" t="inlineStr">
        <is>
          <t>E180</t>
        </is>
      </c>
      <c r="B181" s="9" t="inlineStr">
        <is>
          <t>Employee_180</t>
        </is>
      </c>
      <c r="C181" s="24" t="inlineStr">
        <is>
          <t>Manager_C</t>
        </is>
      </c>
      <c r="D181" s="24" t="inlineStr">
        <is>
          <t>Sales</t>
        </is>
      </c>
      <c r="E181" s="11" t="n">
        <v>29514398</v>
      </c>
      <c r="F181" s="11" t="n">
        <v>4031486</v>
      </c>
      <c r="G181" s="11" t="n">
        <v>1833156</v>
      </c>
      <c r="H181" s="11">
        <f>E181+F181-G181</f>
        <v/>
      </c>
      <c r="I181" s="24" t="inlineStr">
        <is>
          <t>2026-03</t>
        </is>
      </c>
      <c r="J181" s="24" t="inlineStr">
        <is>
          <t>Dual_Anomaly</t>
        </is>
      </c>
      <c r="K181" s="9" t="inlineStr">
        <is>
          <t>Thưởng và Phạt đều cao bất thường</t>
        </is>
      </c>
    </row>
    <row r="182">
      <c r="A182" s="23" t="inlineStr">
        <is>
          <t>E181</t>
        </is>
      </c>
      <c r="B182" s="13" t="inlineStr">
        <is>
          <t>Employee_181</t>
        </is>
      </c>
      <c r="C182" s="23" t="inlineStr">
        <is>
          <t>Manager_C</t>
        </is>
      </c>
      <c r="D182" s="23" t="inlineStr">
        <is>
          <t>Sales</t>
        </is>
      </c>
      <c r="E182" s="15" t="n">
        <v>25311046</v>
      </c>
      <c r="F182" s="15" t="n">
        <v>1045872</v>
      </c>
      <c r="G182" s="15" t="n">
        <v>597820</v>
      </c>
      <c r="H182" s="15">
        <f>E182+F182-G182</f>
        <v/>
      </c>
      <c r="I182" s="23" t="inlineStr">
        <is>
          <t>2026-03</t>
        </is>
      </c>
      <c r="J182" s="23" t="inlineStr">
        <is>
          <t>Normal</t>
        </is>
      </c>
      <c r="K182" s="13" t="inlineStr">
        <is>
          <t>Hợp lệ</t>
        </is>
      </c>
    </row>
    <row r="183">
      <c r="A183" s="24" t="inlineStr">
        <is>
          <t>E182</t>
        </is>
      </c>
      <c r="B183" s="9" t="inlineStr">
        <is>
          <t>Employee_182</t>
        </is>
      </c>
      <c r="C183" s="24" t="inlineStr">
        <is>
          <t>Manager_A</t>
        </is>
      </c>
      <c r="D183" s="24" t="inlineStr">
        <is>
          <t>HR</t>
        </is>
      </c>
      <c r="E183" s="11" t="n">
        <v>17153357</v>
      </c>
      <c r="F183" s="11" t="n">
        <v>3769162</v>
      </c>
      <c r="G183" s="11" t="n">
        <v>1898564</v>
      </c>
      <c r="H183" s="11">
        <f>E183+F183-G183</f>
        <v/>
      </c>
      <c r="I183" s="24" t="inlineStr">
        <is>
          <t>2026-03</t>
        </is>
      </c>
      <c r="J183" s="24" t="inlineStr">
        <is>
          <t>High_Penalty</t>
        </is>
      </c>
      <c r="K183" s="9" t="inlineStr">
        <is>
          <t>Mức phạt vượt trần cảnh báo</t>
        </is>
      </c>
    </row>
    <row r="184">
      <c r="A184" s="23" t="inlineStr">
        <is>
          <t>E183</t>
        </is>
      </c>
      <c r="B184" s="13" t="inlineStr">
        <is>
          <t>Employee_183</t>
        </is>
      </c>
      <c r="C184" s="23" t="inlineStr">
        <is>
          <t>Manager_B</t>
        </is>
      </c>
      <c r="D184" s="23" t="inlineStr">
        <is>
          <t>Operations</t>
        </is>
      </c>
      <c r="E184" s="15" t="n">
        <v>11077396</v>
      </c>
      <c r="F184" s="15" t="n">
        <v>1862589</v>
      </c>
      <c r="G184" s="15" t="n">
        <v>1712750</v>
      </c>
      <c r="H184" s="15">
        <f>E184+F184-G184</f>
        <v/>
      </c>
      <c r="I184" s="23" t="inlineStr">
        <is>
          <t>2026-03</t>
        </is>
      </c>
      <c r="J184" s="23" t="inlineStr">
        <is>
          <t>High_Penalty</t>
        </is>
      </c>
      <c r="K184" s="13" t="inlineStr">
        <is>
          <t>Mức phạt vượt trần cảnh báo</t>
        </is>
      </c>
    </row>
    <row r="185">
      <c r="A185" s="24" t="inlineStr">
        <is>
          <t>E184</t>
        </is>
      </c>
      <c r="B185" s="9" t="inlineStr">
        <is>
          <t>Employee_184</t>
        </is>
      </c>
      <c r="C185" s="24" t="inlineStr">
        <is>
          <t>Manager_D</t>
        </is>
      </c>
      <c r="D185" s="24" t="inlineStr">
        <is>
          <t>Finance</t>
        </is>
      </c>
      <c r="E185" s="11" t="n">
        <v>8894903</v>
      </c>
      <c r="F185" s="11" t="n">
        <v>3480407</v>
      </c>
      <c r="G185" s="11" t="n">
        <v>111687</v>
      </c>
      <c r="H185" s="11">
        <f>E185+F185-G185</f>
        <v/>
      </c>
      <c r="I185" s="24" t="inlineStr">
        <is>
          <t>2026-03</t>
        </is>
      </c>
      <c r="J185" s="24" t="inlineStr">
        <is>
          <t>Normal</t>
        </is>
      </c>
      <c r="K185" s="9" t="inlineStr">
        <is>
          <t>Hợp lệ</t>
        </is>
      </c>
    </row>
    <row r="186">
      <c r="A186" s="23" t="inlineStr">
        <is>
          <t>E185</t>
        </is>
      </c>
      <c r="B186" s="13" t="inlineStr">
        <is>
          <t>Employee_185</t>
        </is>
      </c>
      <c r="C186" s="23" t="inlineStr">
        <is>
          <t>Manager_D</t>
        </is>
      </c>
      <c r="D186" s="23" t="inlineStr">
        <is>
          <t>Finance</t>
        </is>
      </c>
      <c r="E186" s="15" t="n">
        <v>15911399</v>
      </c>
      <c r="F186" s="15" t="n">
        <v>3239396</v>
      </c>
      <c r="G186" s="15" t="n">
        <v>171139</v>
      </c>
      <c r="H186" s="15">
        <f>E186+F186-G186</f>
        <v/>
      </c>
      <c r="I186" s="23" t="inlineStr">
        <is>
          <t>2026-03</t>
        </is>
      </c>
      <c r="J186" s="23" t="inlineStr">
        <is>
          <t>Normal</t>
        </is>
      </c>
      <c r="K186" s="13" t="inlineStr">
        <is>
          <t>Hợp lệ</t>
        </is>
      </c>
    </row>
    <row r="187">
      <c r="A187" s="24" t="inlineStr">
        <is>
          <t>E186</t>
        </is>
      </c>
      <c r="B187" s="9" t="inlineStr">
        <is>
          <t>Employee_186</t>
        </is>
      </c>
      <c r="C187" s="24" t="inlineStr">
        <is>
          <t>Manager_C</t>
        </is>
      </c>
      <c r="D187" s="24" t="inlineStr">
        <is>
          <t>HR</t>
        </is>
      </c>
      <c r="E187" s="11" t="n">
        <v>8945817</v>
      </c>
      <c r="F187" s="11" t="n">
        <v>2673322</v>
      </c>
      <c r="G187" s="11" t="n">
        <v>1952083</v>
      </c>
      <c r="H187" s="11">
        <f>E187+F187-G187</f>
        <v/>
      </c>
      <c r="I187" s="24" t="inlineStr">
        <is>
          <t>2026-03</t>
        </is>
      </c>
      <c r="J187" s="24" t="inlineStr">
        <is>
          <t>High_Penalty</t>
        </is>
      </c>
      <c r="K187" s="9" t="inlineStr">
        <is>
          <t>Mức phạt vượt trần cảnh báo</t>
        </is>
      </c>
    </row>
    <row r="188">
      <c r="A188" s="23" t="inlineStr">
        <is>
          <t>E187</t>
        </is>
      </c>
      <c r="B188" s="13" t="inlineStr">
        <is>
          <t>Employee_187</t>
        </is>
      </c>
      <c r="C188" s="23" t="inlineStr">
        <is>
          <t>Manager_A</t>
        </is>
      </c>
      <c r="D188" s="23" t="inlineStr">
        <is>
          <t>Finance</t>
        </is>
      </c>
      <c r="E188" s="15" t="n">
        <v>12900601</v>
      </c>
      <c r="F188" s="15" t="n">
        <v>1154269</v>
      </c>
      <c r="G188" s="15" t="n">
        <v>80327</v>
      </c>
      <c r="H188" s="15">
        <f>E188+F188-G188</f>
        <v/>
      </c>
      <c r="I188" s="23" t="inlineStr">
        <is>
          <t>2026-03</t>
        </is>
      </c>
      <c r="J188" s="23" t="inlineStr">
        <is>
          <t>Normal</t>
        </is>
      </c>
      <c r="K188" s="13" t="inlineStr">
        <is>
          <t>Hợp lệ</t>
        </is>
      </c>
    </row>
    <row r="189">
      <c r="A189" s="24" t="inlineStr">
        <is>
          <t>E188</t>
        </is>
      </c>
      <c r="B189" s="9" t="inlineStr">
        <is>
          <t>Employee_188</t>
        </is>
      </c>
      <c r="C189" s="24" t="inlineStr">
        <is>
          <t>Manager_C</t>
        </is>
      </c>
      <c r="D189" s="24" t="inlineStr">
        <is>
          <t>Operations</t>
        </is>
      </c>
      <c r="E189" s="11" t="n">
        <v>12657109</v>
      </c>
      <c r="F189" s="11" t="n">
        <v>3935180</v>
      </c>
      <c r="G189" s="11" t="n">
        <v>940785</v>
      </c>
      <c r="H189" s="11">
        <f>E189+F189-G189</f>
        <v/>
      </c>
      <c r="I189" s="24" t="inlineStr">
        <is>
          <t>2026-03</t>
        </is>
      </c>
      <c r="J189" s="24" t="inlineStr">
        <is>
          <t>Normal</t>
        </is>
      </c>
      <c r="K189" s="9" t="inlineStr">
        <is>
          <t>Hợp lệ</t>
        </is>
      </c>
    </row>
    <row r="190">
      <c r="A190" s="23" t="inlineStr">
        <is>
          <t>E189</t>
        </is>
      </c>
      <c r="B190" s="13" t="inlineStr">
        <is>
          <t>Employee_189</t>
        </is>
      </c>
      <c r="C190" s="23" t="inlineStr">
        <is>
          <t>Manager_A</t>
        </is>
      </c>
      <c r="D190" s="23" t="inlineStr">
        <is>
          <t>Sales</t>
        </is>
      </c>
      <c r="E190" s="15" t="n">
        <v>8637664</v>
      </c>
      <c r="F190" s="15" t="n">
        <v>2146845</v>
      </c>
      <c r="G190" s="15" t="n">
        <v>452260</v>
      </c>
      <c r="H190" s="15">
        <f>E190+F190-G190</f>
        <v/>
      </c>
      <c r="I190" s="23" t="inlineStr">
        <is>
          <t>2026-03</t>
        </is>
      </c>
      <c r="J190" s="23" t="inlineStr">
        <is>
          <t>Normal</t>
        </is>
      </c>
      <c r="K190" s="13" t="inlineStr">
        <is>
          <t>Hợp lệ</t>
        </is>
      </c>
    </row>
    <row r="191">
      <c r="A191" s="24" t="inlineStr">
        <is>
          <t>E190</t>
        </is>
      </c>
      <c r="B191" s="9" t="inlineStr">
        <is>
          <t>Employee_190</t>
        </is>
      </c>
      <c r="C191" s="24" t="inlineStr">
        <is>
          <t>Manager_B</t>
        </is>
      </c>
      <c r="D191" s="24" t="inlineStr">
        <is>
          <t>Operations</t>
        </is>
      </c>
      <c r="E191" s="11" t="n">
        <v>11730811</v>
      </c>
      <c r="F191" s="11" t="n">
        <v>2416771</v>
      </c>
      <c r="G191" s="11" t="n">
        <v>498367</v>
      </c>
      <c r="H191" s="11">
        <f>E191+F191-G191</f>
        <v/>
      </c>
      <c r="I191" s="24" t="inlineStr">
        <is>
          <t>2026-03</t>
        </is>
      </c>
      <c r="J191" s="24" t="inlineStr">
        <is>
          <t>Normal</t>
        </is>
      </c>
      <c r="K191" s="9" t="inlineStr">
        <is>
          <t>Hợp lệ</t>
        </is>
      </c>
    </row>
    <row r="192">
      <c r="A192" s="23" t="inlineStr">
        <is>
          <t>E191</t>
        </is>
      </c>
      <c r="B192" s="13" t="inlineStr">
        <is>
          <t>Employee_191</t>
        </is>
      </c>
      <c r="C192" s="23" t="inlineStr">
        <is>
          <t>Manager_C</t>
        </is>
      </c>
      <c r="D192" s="23" t="inlineStr">
        <is>
          <t>Sales</t>
        </is>
      </c>
      <c r="E192" s="15" t="n">
        <v>9602205</v>
      </c>
      <c r="F192" s="15" t="n">
        <v>2000175</v>
      </c>
      <c r="G192" s="15" t="n">
        <v>880437</v>
      </c>
      <c r="H192" s="15">
        <f>E192+F192-G192</f>
        <v/>
      </c>
      <c r="I192" s="23" t="inlineStr">
        <is>
          <t>2026-03</t>
        </is>
      </c>
      <c r="J192" s="23" t="inlineStr">
        <is>
          <t>Normal</t>
        </is>
      </c>
      <c r="K192" s="13" t="inlineStr">
        <is>
          <t>Hợp lệ</t>
        </is>
      </c>
    </row>
    <row r="193">
      <c r="A193" s="24" t="inlineStr">
        <is>
          <t>E192</t>
        </is>
      </c>
      <c r="B193" s="9" t="inlineStr">
        <is>
          <t>Employee_192</t>
        </is>
      </c>
      <c r="C193" s="24" t="inlineStr">
        <is>
          <t>Manager_D</t>
        </is>
      </c>
      <c r="D193" s="24" t="inlineStr">
        <is>
          <t>Sales</t>
        </is>
      </c>
      <c r="E193" s="11" t="n">
        <v>11719773</v>
      </c>
      <c r="F193" s="11" t="n">
        <v>4192871</v>
      </c>
      <c r="G193" s="11" t="n">
        <v>1251452</v>
      </c>
      <c r="H193" s="11">
        <f>E193+F193-G193</f>
        <v/>
      </c>
      <c r="I193" s="24" t="inlineStr">
        <is>
          <t>2026-03</t>
        </is>
      </c>
      <c r="J193" s="24" t="inlineStr">
        <is>
          <t>Dual_Anomaly</t>
        </is>
      </c>
      <c r="K193" s="9" t="inlineStr">
        <is>
          <t>Thưởng và Phạt đều cao bất thường</t>
        </is>
      </c>
    </row>
    <row r="194">
      <c r="A194" s="23" t="inlineStr">
        <is>
          <t>E193</t>
        </is>
      </c>
      <c r="B194" s="13" t="inlineStr">
        <is>
          <t>Employee_193</t>
        </is>
      </c>
      <c r="C194" s="23" t="inlineStr">
        <is>
          <t>Manager_A</t>
        </is>
      </c>
      <c r="D194" s="23" t="inlineStr">
        <is>
          <t>HR</t>
        </is>
      </c>
      <c r="E194" s="15" t="n">
        <v>12817639</v>
      </c>
      <c r="F194" s="15" t="n">
        <v>2443366</v>
      </c>
      <c r="G194" s="15" t="n">
        <v>900179</v>
      </c>
      <c r="H194" s="15">
        <f>E194+F194-G194</f>
        <v/>
      </c>
      <c r="I194" s="23" t="inlineStr">
        <is>
          <t>2026-03</t>
        </is>
      </c>
      <c r="J194" s="23" t="inlineStr">
        <is>
          <t>Normal</t>
        </is>
      </c>
      <c r="K194" s="13" t="inlineStr">
        <is>
          <t>Hợp lệ</t>
        </is>
      </c>
    </row>
    <row r="195">
      <c r="A195" s="24" t="inlineStr">
        <is>
          <t>E194</t>
        </is>
      </c>
      <c r="B195" s="9" t="inlineStr">
        <is>
          <t>Employee_194</t>
        </is>
      </c>
      <c r="C195" s="24" t="inlineStr">
        <is>
          <t>Manager_A</t>
        </is>
      </c>
      <c r="D195" s="24" t="inlineStr">
        <is>
          <t>Finance</t>
        </is>
      </c>
      <c r="E195" s="11" t="n">
        <v>16071996</v>
      </c>
      <c r="F195" s="11" t="n">
        <v>4787074</v>
      </c>
      <c r="G195" s="11" t="n">
        <v>873605</v>
      </c>
      <c r="H195" s="11">
        <f>E195+F195-G195</f>
        <v/>
      </c>
      <c r="I195" s="24" t="inlineStr">
        <is>
          <t>2026-03</t>
        </is>
      </c>
      <c r="J195" s="24" t="inlineStr">
        <is>
          <t>High_Bonus</t>
        </is>
      </c>
      <c r="K195" s="9" t="inlineStr">
        <is>
          <t>Mức thưởng xuất sắc vượt trội</t>
        </is>
      </c>
    </row>
    <row r="196">
      <c r="A196" s="23" t="inlineStr">
        <is>
          <t>E195</t>
        </is>
      </c>
      <c r="B196" s="13" t="inlineStr">
        <is>
          <t>Employee_195</t>
        </is>
      </c>
      <c r="C196" s="23" t="inlineStr">
        <is>
          <t>Manager_B</t>
        </is>
      </c>
      <c r="D196" s="23" t="inlineStr">
        <is>
          <t>Sales</t>
        </is>
      </c>
      <c r="E196" s="15" t="n">
        <v>25565226</v>
      </c>
      <c r="F196" s="15" t="n">
        <v>3024963</v>
      </c>
      <c r="G196" s="15" t="n">
        <v>141933</v>
      </c>
      <c r="H196" s="15">
        <f>E196+F196-G196</f>
        <v/>
      </c>
      <c r="I196" s="23" t="inlineStr">
        <is>
          <t>2026-03</t>
        </is>
      </c>
      <c r="J196" s="23" t="inlineStr">
        <is>
          <t>Normal</t>
        </is>
      </c>
      <c r="K196" s="13" t="inlineStr">
        <is>
          <t>Hợp lệ</t>
        </is>
      </c>
    </row>
    <row r="197">
      <c r="A197" s="24" t="inlineStr">
        <is>
          <t>E196</t>
        </is>
      </c>
      <c r="B197" s="9" t="inlineStr">
        <is>
          <t>Employee_196</t>
        </is>
      </c>
      <c r="C197" s="24" t="inlineStr">
        <is>
          <t>Manager_A</t>
        </is>
      </c>
      <c r="D197" s="24" t="inlineStr">
        <is>
          <t>Operations</t>
        </is>
      </c>
      <c r="E197" s="11" t="n">
        <v>23775115</v>
      </c>
      <c r="F197" s="11" t="n">
        <v>365193</v>
      </c>
      <c r="G197" s="11" t="n">
        <v>1333098</v>
      </c>
      <c r="H197" s="11">
        <f>E197+F197-G197</f>
        <v/>
      </c>
      <c r="I197" s="24" t="inlineStr">
        <is>
          <t>2026-03</t>
        </is>
      </c>
      <c r="J197" s="24" t="inlineStr">
        <is>
          <t>Normal</t>
        </is>
      </c>
      <c r="K197" s="9" t="inlineStr">
        <is>
          <t>Hợp lệ</t>
        </is>
      </c>
    </row>
    <row r="198">
      <c r="A198" s="23" t="inlineStr">
        <is>
          <t>E197</t>
        </is>
      </c>
      <c r="B198" s="13" t="inlineStr">
        <is>
          <t>Employee_197</t>
        </is>
      </c>
      <c r="C198" s="23" t="inlineStr">
        <is>
          <t>Manager_D</t>
        </is>
      </c>
      <c r="D198" s="23" t="inlineStr">
        <is>
          <t>Finance</t>
        </is>
      </c>
      <c r="E198" s="15" t="n">
        <v>16511090</v>
      </c>
      <c r="F198" s="15" t="n">
        <v>136249</v>
      </c>
      <c r="G198" s="15" t="n">
        <v>748880</v>
      </c>
      <c r="H198" s="15">
        <f>E198+F198-G198</f>
        <v/>
      </c>
      <c r="I198" s="23" t="inlineStr">
        <is>
          <t>2026-03</t>
        </is>
      </c>
      <c r="J198" s="23" t="inlineStr">
        <is>
          <t>Normal</t>
        </is>
      </c>
      <c r="K198" s="13" t="inlineStr">
        <is>
          <t>Hợp lệ</t>
        </is>
      </c>
    </row>
    <row r="199">
      <c r="A199" s="24" t="inlineStr">
        <is>
          <t>E198</t>
        </is>
      </c>
      <c r="B199" s="9" t="inlineStr">
        <is>
          <t>Employee_198</t>
        </is>
      </c>
      <c r="C199" s="24" t="inlineStr">
        <is>
          <t>Manager_A</t>
        </is>
      </c>
      <c r="D199" s="24" t="inlineStr">
        <is>
          <t>Finance</t>
        </is>
      </c>
      <c r="E199" s="11" t="n">
        <v>16090843</v>
      </c>
      <c r="F199" s="11" t="n">
        <v>869595</v>
      </c>
      <c r="G199" s="11" t="n">
        <v>1617955</v>
      </c>
      <c r="H199" s="11">
        <f>E199+F199-G199</f>
        <v/>
      </c>
      <c r="I199" s="24" t="inlineStr">
        <is>
          <t>2026-03</t>
        </is>
      </c>
      <c r="J199" s="24" t="inlineStr">
        <is>
          <t>High_Penalty</t>
        </is>
      </c>
      <c r="K199" s="9" t="inlineStr">
        <is>
          <t>Mức phạt vượt trần cảnh báo</t>
        </is>
      </c>
    </row>
    <row r="200">
      <c r="A200" s="23" t="inlineStr">
        <is>
          <t>E199</t>
        </is>
      </c>
      <c r="B200" s="13" t="inlineStr">
        <is>
          <t>Employee_199</t>
        </is>
      </c>
      <c r="C200" s="23" t="inlineStr">
        <is>
          <t>Manager_C</t>
        </is>
      </c>
      <c r="D200" s="23" t="inlineStr">
        <is>
          <t>HR</t>
        </is>
      </c>
      <c r="E200" s="15" t="n">
        <v>9487658</v>
      </c>
      <c r="F200" s="15" t="n">
        <v>2955298</v>
      </c>
      <c r="G200" s="15" t="n">
        <v>1145073</v>
      </c>
      <c r="H200" s="15">
        <f>E200+F200-G200</f>
        <v/>
      </c>
      <c r="I200" s="23" t="inlineStr">
        <is>
          <t>2026-03</t>
        </is>
      </c>
      <c r="J200" s="23" t="inlineStr">
        <is>
          <t>High_Penalty</t>
        </is>
      </c>
      <c r="K200" s="13" t="inlineStr">
        <is>
          <t>Mức phạt vượt trần cảnh báo</t>
        </is>
      </c>
    </row>
    <row r="201">
      <c r="A201" s="24" t="inlineStr">
        <is>
          <t>E200</t>
        </is>
      </c>
      <c r="B201" s="9" t="inlineStr">
        <is>
          <t>Employee_200</t>
        </is>
      </c>
      <c r="C201" s="24" t="inlineStr">
        <is>
          <t>Manager_C</t>
        </is>
      </c>
      <c r="D201" s="24" t="inlineStr">
        <is>
          <t>HR</t>
        </is>
      </c>
      <c r="E201" s="11" t="n">
        <v>23590157</v>
      </c>
      <c r="F201" s="11" t="n">
        <v>4014210</v>
      </c>
      <c r="G201" s="11" t="n">
        <v>1324846</v>
      </c>
      <c r="H201" s="11">
        <f>E201+F201-G201</f>
        <v/>
      </c>
      <c r="I201" s="24" t="inlineStr">
        <is>
          <t>2026-03</t>
        </is>
      </c>
      <c r="J201" s="24" t="inlineStr">
        <is>
          <t>High_Bonus</t>
        </is>
      </c>
      <c r="K201" s="9" t="inlineStr">
        <is>
          <t>Mức thưởng xuất sắc vượt trội</t>
        </is>
      </c>
    </row>
    <row r="202">
      <c r="A202" s="25" t="inlineStr">
        <is>
          <t>TỔNG CỘNG</t>
        </is>
      </c>
      <c r="B202" s="25" t="inlineStr">
        <is>
          <t>200 NV</t>
        </is>
      </c>
      <c r="C202" s="25" t="n"/>
      <c r="D202" s="25" t="n"/>
      <c r="E202" s="19">
        <f>SUM(E2:E201)</f>
        <v/>
      </c>
      <c r="F202" s="19">
        <f>SUM(F2:F201)</f>
        <v/>
      </c>
      <c r="G202" s="19">
        <f>SUM(G2:G201)</f>
        <v/>
      </c>
      <c r="H202" s="19">
        <f>SUM(H2:H201)</f>
        <v/>
      </c>
      <c r="I202" s="25" t="n"/>
      <c r="J202" s="25" t="n"/>
      <c r="K202" s="2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14" customWidth="1" min="5" max="5"/>
    <col width="19" customWidth="1" min="6" max="6"/>
    <col width="18" customWidth="1" min="7" max="7"/>
    <col width="18" customWidth="1" min="8" max="8"/>
    <col width="19" customWidth="1" min="9" max="9"/>
    <col width="16" customWidth="1" min="10" max="10"/>
    <col width="10" customWidth="1" min="11" max="11"/>
    <col width="50" customWidth="1" min="12" max="12"/>
    <col width="50" customWidth="1" min="13" max="13"/>
  </cols>
  <sheetData>
    <row r="1" ht="28" customHeight="1">
      <c r="A1" s="22" t="inlineStr">
        <is>
          <t>STT</t>
        </is>
      </c>
      <c r="B1" s="22" t="inlineStr">
        <is>
          <t>Mã NV</t>
        </is>
      </c>
      <c r="C1" s="22" t="inlineStr">
        <is>
          <t>Họ &amp; Tên</t>
        </is>
      </c>
      <c r="D1" s="22" t="inlineStr">
        <is>
          <t>Quản Lý</t>
        </is>
      </c>
      <c r="E1" s="22" t="inlineStr">
        <is>
          <t>Phòng Ban</t>
        </is>
      </c>
      <c r="F1" s="22" t="inlineStr">
        <is>
          <t>Lương Cơ Bản</t>
        </is>
      </c>
      <c r="G1" s="22" t="inlineStr">
        <is>
          <t>Thưởng</t>
        </is>
      </c>
      <c r="H1" s="22" t="inlineStr">
        <is>
          <t>Phạt</t>
        </is>
      </c>
      <c r="I1" s="22" t="inlineStr">
        <is>
          <t>Lương Thực Nhận</t>
        </is>
      </c>
      <c r="J1" s="22" t="inlineStr">
        <is>
          <t>Phân Loại Lỗi</t>
        </is>
      </c>
      <c r="K1" s="22" t="inlineStr">
        <is>
          <t>Mức Độ</t>
        </is>
      </c>
      <c r="L1" s="22" t="inlineStr">
        <is>
          <t>Mô Tả Chi Tiết</t>
        </is>
      </c>
      <c r="M1" s="22" t="inlineStr">
        <is>
          <t>Khuyến Nghị Xử Lý</t>
        </is>
      </c>
    </row>
    <row r="2" ht="20" customHeight="1">
      <c r="A2" s="26" t="n">
        <v>1</v>
      </c>
      <c r="B2" s="26" t="inlineStr">
        <is>
          <t>E001</t>
        </is>
      </c>
      <c r="C2" s="27" t="inlineStr">
        <is>
          <t>Employee_1</t>
        </is>
      </c>
      <c r="D2" s="26" t="inlineStr">
        <is>
          <t>Manager_B</t>
        </is>
      </c>
      <c r="E2" s="26" t="inlineStr">
        <is>
          <t>Operations</t>
        </is>
      </c>
      <c r="F2" s="28" t="n">
        <v>29672904</v>
      </c>
      <c r="G2" s="28" t="n">
        <v>4117307</v>
      </c>
      <c r="H2" s="28" t="n">
        <v>939890</v>
      </c>
      <c r="I2" s="28" t="n">
        <v>32850321</v>
      </c>
      <c r="J2" s="26" t="inlineStr">
        <is>
          <t>High Bonus</t>
        </is>
      </c>
      <c r="K2" s="26" t="inlineStr">
        <is>
          <t>Low</t>
        </is>
      </c>
      <c r="L2" s="27" t="inlineStr">
        <is>
          <t>Thưởng vượt mức trần (4,117,307đ) — Top hiệu suất.</t>
        </is>
      </c>
      <c r="M2" s="27" t="inlineStr">
        <is>
          <t>Xác nhận phê duyệt từ Giám đốc vận hành.</t>
        </is>
      </c>
    </row>
    <row r="3" ht="20" customHeight="1">
      <c r="A3" s="29" t="n">
        <v>2</v>
      </c>
      <c r="B3" s="29" t="inlineStr">
        <is>
          <t>E006</t>
        </is>
      </c>
      <c r="C3" s="30" t="inlineStr">
        <is>
          <t>Employee_6</t>
        </is>
      </c>
      <c r="D3" s="29" t="inlineStr">
        <is>
          <t>Manager_A</t>
        </is>
      </c>
      <c r="E3" s="29" t="inlineStr">
        <is>
          <t>HR</t>
        </is>
      </c>
      <c r="F3" s="31" t="n">
        <v>18588032</v>
      </c>
      <c r="G3" s="31" t="n">
        <v>1002897</v>
      </c>
      <c r="H3" s="31" t="n">
        <v>1557934</v>
      </c>
      <c r="I3" s="31" t="n">
        <v>18032995</v>
      </c>
      <c r="J3" s="29" t="inlineStr">
        <is>
          <t>High Penalty</t>
        </is>
      </c>
      <c r="K3" s="29" t="inlineStr">
        <is>
          <t>Medium</t>
        </is>
      </c>
      <c r="L3" s="30" t="inlineStr">
        <is>
          <t>Mức phạt 1,557,934đ chiếm 8.4% lương cơ bản.</t>
        </is>
      </c>
      <c r="M3" s="30" t="inlineStr">
        <is>
          <t>Xem xét lỗi vận hành lặp lại để huấn luyện lại.</t>
        </is>
      </c>
    </row>
    <row r="4" ht="20" customHeight="1">
      <c r="A4" s="26" t="n">
        <v>3</v>
      </c>
      <c r="B4" s="26" t="inlineStr">
        <is>
          <t>E007</t>
        </is>
      </c>
      <c r="C4" s="27" t="inlineStr">
        <is>
          <t>Employee_7</t>
        </is>
      </c>
      <c r="D4" s="26" t="inlineStr">
        <is>
          <t>Manager_B</t>
        </is>
      </c>
      <c r="E4" s="26" t="inlineStr">
        <is>
          <t>HR</t>
        </is>
      </c>
      <c r="F4" s="28" t="n">
        <v>15260663</v>
      </c>
      <c r="G4" s="28" t="n">
        <v>4061752</v>
      </c>
      <c r="H4" s="28" t="n">
        <v>579861</v>
      </c>
      <c r="I4" s="28" t="n">
        <v>18742554</v>
      </c>
      <c r="J4" s="26" t="inlineStr">
        <is>
          <t>High Bonus</t>
        </is>
      </c>
      <c r="K4" s="26" t="inlineStr">
        <is>
          <t>Low</t>
        </is>
      </c>
      <c r="L4" s="27" t="inlineStr">
        <is>
          <t>Thưởng vượt mức trần (4,061,752đ) — Top hiệu suất.</t>
        </is>
      </c>
      <c r="M4" s="27" t="inlineStr">
        <is>
          <t>Xác nhận phê duyệt từ Giám đốc vận hành.</t>
        </is>
      </c>
    </row>
    <row r="5" ht="20" customHeight="1">
      <c r="A5" s="29" t="n">
        <v>4</v>
      </c>
      <c r="B5" s="29" t="inlineStr">
        <is>
          <t>E010</t>
        </is>
      </c>
      <c r="C5" s="30" t="inlineStr">
        <is>
          <t>Employee_10</t>
        </is>
      </c>
      <c r="D5" s="29" t="inlineStr">
        <is>
          <t>Manager_B</t>
        </is>
      </c>
      <c r="E5" s="29" t="inlineStr">
        <is>
          <t>Finance</t>
        </is>
      </c>
      <c r="F5" s="31" t="n">
        <v>9527253</v>
      </c>
      <c r="G5" s="31" t="n">
        <v>457397</v>
      </c>
      <c r="H5" s="31" t="n">
        <v>1160477</v>
      </c>
      <c r="I5" s="31" t="n">
        <v>8824173</v>
      </c>
      <c r="J5" s="29" t="inlineStr">
        <is>
          <t>High Penalty</t>
        </is>
      </c>
      <c r="K5" s="29" t="inlineStr">
        <is>
          <t>Medium</t>
        </is>
      </c>
      <c r="L5" s="30" t="inlineStr">
        <is>
          <t>Mức phạt 1,160,477đ chiếm 12.2% lương cơ bản.</t>
        </is>
      </c>
      <c r="M5" s="30" t="inlineStr">
        <is>
          <t>Xem xét lỗi vận hành lặp lại để huấn luyện lại.</t>
        </is>
      </c>
    </row>
    <row r="6" ht="20" customHeight="1">
      <c r="A6" s="26" t="n">
        <v>5</v>
      </c>
      <c r="B6" s="26" t="inlineStr">
        <is>
          <t>E011</t>
        </is>
      </c>
      <c r="C6" s="27" t="inlineStr">
        <is>
          <t>Employee_11</t>
        </is>
      </c>
      <c r="D6" s="26" t="inlineStr">
        <is>
          <t>Manager_C</t>
        </is>
      </c>
      <c r="E6" s="26" t="inlineStr">
        <is>
          <t>HR</t>
        </is>
      </c>
      <c r="F6" s="28" t="n">
        <v>29403353</v>
      </c>
      <c r="G6" s="28" t="n">
        <v>4117788</v>
      </c>
      <c r="H6" s="28" t="n">
        <v>215141</v>
      </c>
      <c r="I6" s="28" t="n">
        <v>33306000</v>
      </c>
      <c r="J6" s="26" t="inlineStr">
        <is>
          <t>High Bonus</t>
        </is>
      </c>
      <c r="K6" s="26" t="inlineStr">
        <is>
          <t>Low</t>
        </is>
      </c>
      <c r="L6" s="27" t="inlineStr">
        <is>
          <t>Thưởng vượt mức trần (4,117,788đ) — Top hiệu suất.</t>
        </is>
      </c>
      <c r="M6" s="27" t="inlineStr">
        <is>
          <t>Xác nhận phê duyệt từ Giám đốc vận hành.</t>
        </is>
      </c>
    </row>
    <row r="7" ht="20" customHeight="1">
      <c r="A7" s="26" t="n">
        <v>6</v>
      </c>
      <c r="B7" s="26" t="inlineStr">
        <is>
          <t>E012</t>
        </is>
      </c>
      <c r="C7" s="27" t="inlineStr">
        <is>
          <t>Employee_12</t>
        </is>
      </c>
      <c r="D7" s="26" t="inlineStr">
        <is>
          <t>Manager_A</t>
        </is>
      </c>
      <c r="E7" s="26" t="inlineStr">
        <is>
          <t>Finance</t>
        </is>
      </c>
      <c r="F7" s="28" t="n">
        <v>23750347</v>
      </c>
      <c r="G7" s="28" t="n">
        <v>4015745</v>
      </c>
      <c r="H7" s="28" t="n">
        <v>923730</v>
      </c>
      <c r="I7" s="28" t="n">
        <v>26842362</v>
      </c>
      <c r="J7" s="26" t="inlineStr">
        <is>
          <t>High Bonus</t>
        </is>
      </c>
      <c r="K7" s="26" t="inlineStr">
        <is>
          <t>Low</t>
        </is>
      </c>
      <c r="L7" s="27" t="inlineStr">
        <is>
          <t>Thưởng vượt mức trần (4,015,745đ) — Top hiệu suất.</t>
        </is>
      </c>
      <c r="M7" s="27" t="inlineStr">
        <is>
          <t>Xác nhận phê duyệt từ Giám đốc vận hành.</t>
        </is>
      </c>
    </row>
    <row r="8" ht="20" customHeight="1">
      <c r="A8" s="29" t="n">
        <v>7</v>
      </c>
      <c r="B8" s="29" t="inlineStr">
        <is>
          <t>E013</t>
        </is>
      </c>
      <c r="C8" s="30" t="inlineStr">
        <is>
          <t>Employee_13</t>
        </is>
      </c>
      <c r="D8" s="29" t="inlineStr">
        <is>
          <t>Manager_C</t>
        </is>
      </c>
      <c r="E8" s="29" t="inlineStr">
        <is>
          <t>HR</t>
        </is>
      </c>
      <c r="F8" s="31" t="n">
        <v>9723916</v>
      </c>
      <c r="G8" s="31" t="n">
        <v>2117942</v>
      </c>
      <c r="H8" s="31" t="n">
        <v>1973553</v>
      </c>
      <c r="I8" s="31" t="n">
        <v>9868305</v>
      </c>
      <c r="J8" s="29" t="inlineStr">
        <is>
          <t>High Penalty</t>
        </is>
      </c>
      <c r="K8" s="29" t="inlineStr">
        <is>
          <t>Medium</t>
        </is>
      </c>
      <c r="L8" s="30" t="inlineStr">
        <is>
          <t>Mức phạt 1,973,553đ chiếm 20.3% lương cơ bản.</t>
        </is>
      </c>
      <c r="M8" s="30" t="inlineStr">
        <is>
          <t>Xem xét lỗi vận hành lặp lại để huấn luyện lại.</t>
        </is>
      </c>
    </row>
    <row r="9" ht="20" customHeight="1">
      <c r="A9" s="29" t="n">
        <v>8</v>
      </c>
      <c r="B9" s="29" t="inlineStr">
        <is>
          <t>E014</t>
        </is>
      </c>
      <c r="C9" s="30" t="inlineStr">
        <is>
          <t>Employee_14</t>
        </is>
      </c>
      <c r="D9" s="29" t="inlineStr">
        <is>
          <t>Manager_D</t>
        </is>
      </c>
      <c r="E9" s="29" t="inlineStr">
        <is>
          <t>Sales</t>
        </is>
      </c>
      <c r="F9" s="31" t="n">
        <v>10192561</v>
      </c>
      <c r="G9" s="31" t="n">
        <v>3361377</v>
      </c>
      <c r="H9" s="31" t="n">
        <v>1031267</v>
      </c>
      <c r="I9" s="31" t="n">
        <v>12522671</v>
      </c>
      <c r="J9" s="29" t="inlineStr">
        <is>
          <t>High Penalty</t>
        </is>
      </c>
      <c r="K9" s="29" t="inlineStr">
        <is>
          <t>Medium</t>
        </is>
      </c>
      <c r="L9" s="30" t="inlineStr">
        <is>
          <t>Mức phạt 1,031,267đ chiếm 10.1% lương cơ bản.</t>
        </is>
      </c>
      <c r="M9" s="30" t="inlineStr">
        <is>
          <t>Xem xét lỗi vận hành lặp lại để huấn luyện lại.</t>
        </is>
      </c>
    </row>
    <row r="10" ht="20" customHeight="1">
      <c r="A10" s="29" t="n">
        <v>9</v>
      </c>
      <c r="B10" s="29" t="inlineStr">
        <is>
          <t>E015</t>
        </is>
      </c>
      <c r="C10" s="30" t="inlineStr">
        <is>
          <t>Employee_15</t>
        </is>
      </c>
      <c r="D10" s="29" t="inlineStr">
        <is>
          <t>Manager_A</t>
        </is>
      </c>
      <c r="E10" s="29" t="inlineStr">
        <is>
          <t>Sales</t>
        </is>
      </c>
      <c r="F10" s="31" t="n">
        <v>13091113</v>
      </c>
      <c r="G10" s="31" t="n">
        <v>1251560</v>
      </c>
      <c r="H10" s="31" t="n">
        <v>1701088</v>
      </c>
      <c r="I10" s="31" t="n">
        <v>12641585</v>
      </c>
      <c r="J10" s="29" t="inlineStr">
        <is>
          <t>High Penalty</t>
        </is>
      </c>
      <c r="K10" s="29" t="inlineStr">
        <is>
          <t>Medium</t>
        </is>
      </c>
      <c r="L10" s="30" t="inlineStr">
        <is>
          <t>Mức phạt 1,701,088đ chiếm 13.0% lương cơ bản.</t>
        </is>
      </c>
      <c r="M10" s="30" t="inlineStr">
        <is>
          <t>Xem xét lỗi vận hành lặp lại để huấn luyện lại.</t>
        </is>
      </c>
    </row>
    <row r="11" ht="20" customHeight="1">
      <c r="A11" s="29" t="n">
        <v>10</v>
      </c>
      <c r="B11" s="29" t="inlineStr">
        <is>
          <t>E021</t>
        </is>
      </c>
      <c r="C11" s="30" t="inlineStr">
        <is>
          <t>Employee_21</t>
        </is>
      </c>
      <c r="D11" s="29" t="inlineStr">
        <is>
          <t>Manager_A</t>
        </is>
      </c>
      <c r="E11" s="29" t="inlineStr">
        <is>
          <t>HR</t>
        </is>
      </c>
      <c r="F11" s="31" t="n">
        <v>8089782</v>
      </c>
      <c r="G11" s="31" t="n">
        <v>3426893</v>
      </c>
      <c r="H11" s="31" t="n">
        <v>944774</v>
      </c>
      <c r="I11" s="31" t="n">
        <v>10571901</v>
      </c>
      <c r="J11" s="29" t="inlineStr">
        <is>
          <t>High Penalty</t>
        </is>
      </c>
      <c r="K11" s="29" t="inlineStr">
        <is>
          <t>Medium</t>
        </is>
      </c>
      <c r="L11" s="30" t="inlineStr">
        <is>
          <t>Mức phạt 944,774đ chiếm 11.7% lương cơ bản.</t>
        </is>
      </c>
      <c r="M11" s="30" t="inlineStr">
        <is>
          <t>Xem xét lỗi vận hành lặp lại để huấn luyện lại.</t>
        </is>
      </c>
    </row>
    <row r="12" ht="20" customHeight="1">
      <c r="A12" s="29" t="n">
        <v>11</v>
      </c>
      <c r="B12" s="29" t="inlineStr">
        <is>
          <t>E023</t>
        </is>
      </c>
      <c r="C12" s="30" t="inlineStr">
        <is>
          <t>Employee_23</t>
        </is>
      </c>
      <c r="D12" s="29" t="inlineStr">
        <is>
          <t>Manager_C</t>
        </is>
      </c>
      <c r="E12" s="29" t="inlineStr">
        <is>
          <t>Operations</t>
        </is>
      </c>
      <c r="F12" s="31" t="n">
        <v>10388396</v>
      </c>
      <c r="G12" s="31" t="n">
        <v>1958100</v>
      </c>
      <c r="H12" s="31" t="n">
        <v>1937581</v>
      </c>
      <c r="I12" s="31" t="n">
        <v>10408915</v>
      </c>
      <c r="J12" s="29" t="inlineStr">
        <is>
          <t>High Penalty</t>
        </is>
      </c>
      <c r="K12" s="29" t="inlineStr">
        <is>
          <t>Medium</t>
        </is>
      </c>
      <c r="L12" s="30" t="inlineStr">
        <is>
          <t>Mức phạt 1,937,581đ chiếm 18.7% lương cơ bản.</t>
        </is>
      </c>
      <c r="M12" s="30" t="inlineStr">
        <is>
          <t>Xem xét lỗi vận hành lặp lại để huấn luyện lại.</t>
        </is>
      </c>
    </row>
    <row r="13" ht="20" customHeight="1">
      <c r="A13" s="32" t="n">
        <v>12</v>
      </c>
      <c r="B13" s="32" t="inlineStr">
        <is>
          <t>E026</t>
        </is>
      </c>
      <c r="C13" s="33" t="inlineStr">
        <is>
          <t>Employee_26</t>
        </is>
      </c>
      <c r="D13" s="32" t="inlineStr">
        <is>
          <t>Manager_A</t>
        </is>
      </c>
      <c r="E13" s="32" t="inlineStr">
        <is>
          <t>HR</t>
        </is>
      </c>
      <c r="F13" s="34" t="n">
        <v>18321739</v>
      </c>
      <c r="G13" s="34" t="n">
        <v>4991591</v>
      </c>
      <c r="H13" s="34" t="n">
        <v>1570678</v>
      </c>
      <c r="I13" s="34" t="n">
        <v>21742652</v>
      </c>
      <c r="J13" s="32" t="inlineStr">
        <is>
          <t>Dual Anomaly</t>
        </is>
      </c>
      <c r="K13" s="32" t="inlineStr">
        <is>
          <t>High</t>
        </is>
      </c>
      <c r="L13" s="33" t="inlineStr">
        <is>
          <t>Vừa đạt thưởng cao vừa bị phạt nặng — Cần rà soát hiệu suất và quy trình.</t>
        </is>
      </c>
      <c r="M13" s="33" t="inlineStr">
        <is>
          <t>Manager đối chiếu bảng chấm công và KPI chi tiết.</t>
        </is>
      </c>
    </row>
    <row r="14" ht="20" customHeight="1">
      <c r="A14" s="29" t="n">
        <v>13</v>
      </c>
      <c r="B14" s="29" t="inlineStr">
        <is>
          <t>E027</t>
        </is>
      </c>
      <c r="C14" s="30" t="inlineStr">
        <is>
          <t>Employee_27</t>
        </is>
      </c>
      <c r="D14" s="29" t="inlineStr">
        <is>
          <t>Manager_C</t>
        </is>
      </c>
      <c r="E14" s="29" t="inlineStr">
        <is>
          <t>Operations</t>
        </is>
      </c>
      <c r="F14" s="31" t="n">
        <v>12172616</v>
      </c>
      <c r="G14" s="31" t="n">
        <v>3931723</v>
      </c>
      <c r="H14" s="31" t="n">
        <v>1444262</v>
      </c>
      <c r="I14" s="31" t="n">
        <v>14660077</v>
      </c>
      <c r="J14" s="29" t="inlineStr">
        <is>
          <t>High Penalty</t>
        </is>
      </c>
      <c r="K14" s="29" t="inlineStr">
        <is>
          <t>Medium</t>
        </is>
      </c>
      <c r="L14" s="30" t="inlineStr">
        <is>
          <t>Mức phạt 1,444,262đ chiếm 11.9% lương cơ bản.</t>
        </is>
      </c>
      <c r="M14" s="30" t="inlineStr">
        <is>
          <t>Xem xét lỗi vận hành lặp lại để huấn luyện lại.</t>
        </is>
      </c>
    </row>
    <row r="15" ht="20" customHeight="1">
      <c r="A15" s="26" t="n">
        <v>14</v>
      </c>
      <c r="B15" s="26" t="inlineStr">
        <is>
          <t>E028</t>
        </is>
      </c>
      <c r="C15" s="27" t="inlineStr">
        <is>
          <t>Employee_28</t>
        </is>
      </c>
      <c r="D15" s="26" t="inlineStr">
        <is>
          <t>Manager_C</t>
        </is>
      </c>
      <c r="E15" s="26" t="inlineStr">
        <is>
          <t>Operations</t>
        </is>
      </c>
      <c r="F15" s="28" t="n">
        <v>17135066</v>
      </c>
      <c r="G15" s="28" t="n">
        <v>4198264</v>
      </c>
      <c r="H15" s="28" t="n">
        <v>1132423</v>
      </c>
      <c r="I15" s="28" t="n">
        <v>20200907</v>
      </c>
      <c r="J15" s="26" t="inlineStr">
        <is>
          <t>High Bonus</t>
        </is>
      </c>
      <c r="K15" s="26" t="inlineStr">
        <is>
          <t>Low</t>
        </is>
      </c>
      <c r="L15" s="27" t="inlineStr">
        <is>
          <t>Thưởng vượt mức trần (4,198,264đ) — Top hiệu suất.</t>
        </is>
      </c>
      <c r="M15" s="27" t="inlineStr">
        <is>
          <t>Xác nhận phê duyệt từ Giám đốc vận hành.</t>
        </is>
      </c>
    </row>
    <row r="16" ht="20" customHeight="1">
      <c r="A16" s="29" t="n">
        <v>15</v>
      </c>
      <c r="B16" s="29" t="inlineStr">
        <is>
          <t>E029</t>
        </is>
      </c>
      <c r="C16" s="30" t="inlineStr">
        <is>
          <t>Employee_29</t>
        </is>
      </c>
      <c r="D16" s="29" t="inlineStr">
        <is>
          <t>Manager_D</t>
        </is>
      </c>
      <c r="E16" s="29" t="inlineStr">
        <is>
          <t>Operations</t>
        </is>
      </c>
      <c r="F16" s="31" t="n">
        <v>10699180</v>
      </c>
      <c r="G16" s="31" t="n">
        <v>334376</v>
      </c>
      <c r="H16" s="31" t="n">
        <v>1865254</v>
      </c>
      <c r="I16" s="31" t="n">
        <v>9168302</v>
      </c>
      <c r="J16" s="29" t="inlineStr">
        <is>
          <t>High Penalty</t>
        </is>
      </c>
      <c r="K16" s="29" t="inlineStr">
        <is>
          <t>Medium</t>
        </is>
      </c>
      <c r="L16" s="30" t="inlineStr">
        <is>
          <t>Mức phạt 1,865,254đ chiếm 17.4% lương cơ bản.</t>
        </is>
      </c>
      <c r="M16" s="30" t="inlineStr">
        <is>
          <t>Xem xét lỗi vận hành lặp lại để huấn luyện lại.</t>
        </is>
      </c>
    </row>
    <row r="17" ht="20" customHeight="1">
      <c r="A17" s="32" t="n">
        <v>16</v>
      </c>
      <c r="B17" s="32" t="inlineStr">
        <is>
          <t>E031</t>
        </is>
      </c>
      <c r="C17" s="33" t="inlineStr">
        <is>
          <t>Employee_31</t>
        </is>
      </c>
      <c r="D17" s="32" t="inlineStr">
        <is>
          <t>Manager_A</t>
        </is>
      </c>
      <c r="E17" s="32" t="inlineStr">
        <is>
          <t>HR</t>
        </is>
      </c>
      <c r="F17" s="34" t="n">
        <v>27300479</v>
      </c>
      <c r="G17" s="34" t="n">
        <v>4925144</v>
      </c>
      <c r="H17" s="34" t="n">
        <v>1993943</v>
      </c>
      <c r="I17" s="34" t="n">
        <v>30231680</v>
      </c>
      <c r="J17" s="32" t="inlineStr">
        <is>
          <t>Dual Anomaly</t>
        </is>
      </c>
      <c r="K17" s="32" t="inlineStr">
        <is>
          <t>High</t>
        </is>
      </c>
      <c r="L17" s="33" t="inlineStr">
        <is>
          <t>Vừa đạt thưởng cao vừa bị phạt nặng — Cần rà soát hiệu suất và quy trình.</t>
        </is>
      </c>
      <c r="M17" s="33" t="inlineStr">
        <is>
          <t>Manager đối chiếu bảng chấm công và KPI chi tiết.</t>
        </is>
      </c>
    </row>
    <row r="18" ht="20" customHeight="1">
      <c r="A18" s="29" t="n">
        <v>17</v>
      </c>
      <c r="B18" s="29" t="inlineStr">
        <is>
          <t>E032</t>
        </is>
      </c>
      <c r="C18" s="30" t="inlineStr">
        <is>
          <t>Employee_32</t>
        </is>
      </c>
      <c r="D18" s="29" t="inlineStr">
        <is>
          <t>Manager_A</t>
        </is>
      </c>
      <c r="E18" s="29" t="inlineStr">
        <is>
          <t>Finance</t>
        </is>
      </c>
      <c r="F18" s="31" t="n">
        <v>27335640</v>
      </c>
      <c r="G18" s="31" t="n">
        <v>337487</v>
      </c>
      <c r="H18" s="31" t="n">
        <v>1600355</v>
      </c>
      <c r="I18" s="31" t="n">
        <v>26072772</v>
      </c>
      <c r="J18" s="29" t="inlineStr">
        <is>
          <t>High Penalty</t>
        </is>
      </c>
      <c r="K18" s="29" t="inlineStr">
        <is>
          <t>Medium</t>
        </is>
      </c>
      <c r="L18" s="30" t="inlineStr">
        <is>
          <t>Mức phạt 1,600,355đ chiếm 5.9% lương cơ bản.</t>
        </is>
      </c>
      <c r="M18" s="30" t="inlineStr">
        <is>
          <t>Xem xét lỗi vận hành lặp lại để huấn luyện lại.</t>
        </is>
      </c>
    </row>
    <row r="19" ht="20" customHeight="1">
      <c r="A19" s="29" t="n">
        <v>18</v>
      </c>
      <c r="B19" s="29" t="inlineStr">
        <is>
          <t>E033</t>
        </is>
      </c>
      <c r="C19" s="30" t="inlineStr">
        <is>
          <t>Employee_33</t>
        </is>
      </c>
      <c r="D19" s="29" t="inlineStr">
        <is>
          <t>Manager_B</t>
        </is>
      </c>
      <c r="E19" s="29" t="inlineStr">
        <is>
          <t>Operations</t>
        </is>
      </c>
      <c r="F19" s="31" t="n">
        <v>25413536</v>
      </c>
      <c r="G19" s="31" t="n">
        <v>3709689</v>
      </c>
      <c r="H19" s="31" t="n">
        <v>1921143</v>
      </c>
      <c r="I19" s="31" t="n">
        <v>27202082</v>
      </c>
      <c r="J19" s="29" t="inlineStr">
        <is>
          <t>High Penalty</t>
        </is>
      </c>
      <c r="K19" s="29" t="inlineStr">
        <is>
          <t>Medium</t>
        </is>
      </c>
      <c r="L19" s="30" t="inlineStr">
        <is>
          <t>Mức phạt 1,921,143đ chiếm 7.6% lương cơ bản.</t>
        </is>
      </c>
      <c r="M19" s="30" t="inlineStr">
        <is>
          <t>Xem xét lỗi vận hành lặp lại để huấn luyện lại.</t>
        </is>
      </c>
    </row>
    <row r="20" ht="20" customHeight="1">
      <c r="A20" s="29" t="n">
        <v>19</v>
      </c>
      <c r="B20" s="29" t="inlineStr">
        <is>
          <t>E037</t>
        </is>
      </c>
      <c r="C20" s="30" t="inlineStr">
        <is>
          <t>Employee_37</t>
        </is>
      </c>
      <c r="D20" s="29" t="inlineStr">
        <is>
          <t>Manager_D</t>
        </is>
      </c>
      <c r="E20" s="29" t="inlineStr">
        <is>
          <t>Operations</t>
        </is>
      </c>
      <c r="F20" s="31" t="n">
        <v>17670984</v>
      </c>
      <c r="G20" s="31" t="n">
        <v>3359236</v>
      </c>
      <c r="H20" s="31" t="n">
        <v>1706171</v>
      </c>
      <c r="I20" s="31" t="n">
        <v>19324049</v>
      </c>
      <c r="J20" s="29" t="inlineStr">
        <is>
          <t>High Penalty</t>
        </is>
      </c>
      <c r="K20" s="29" t="inlineStr">
        <is>
          <t>Medium</t>
        </is>
      </c>
      <c r="L20" s="30" t="inlineStr">
        <is>
          <t>Mức phạt 1,706,171đ chiếm 9.7% lương cơ bản.</t>
        </is>
      </c>
      <c r="M20" s="30" t="inlineStr">
        <is>
          <t>Xem xét lỗi vận hành lặp lại để huấn luyện lại.</t>
        </is>
      </c>
    </row>
    <row r="21" ht="20" customHeight="1">
      <c r="A21" s="32" t="n">
        <v>20</v>
      </c>
      <c r="B21" s="32" t="inlineStr">
        <is>
          <t>E039</t>
        </is>
      </c>
      <c r="C21" s="33" t="inlineStr">
        <is>
          <t>Employee_39</t>
        </is>
      </c>
      <c r="D21" s="32" t="inlineStr">
        <is>
          <t>Manager_C</t>
        </is>
      </c>
      <c r="E21" s="32" t="inlineStr">
        <is>
          <t>Sales</t>
        </is>
      </c>
      <c r="F21" s="34" t="n">
        <v>21561864</v>
      </c>
      <c r="G21" s="34" t="n">
        <v>4316746</v>
      </c>
      <c r="H21" s="34" t="n">
        <v>1729997</v>
      </c>
      <c r="I21" s="34" t="n">
        <v>24148613</v>
      </c>
      <c r="J21" s="32" t="inlineStr">
        <is>
          <t>Dual Anomaly</t>
        </is>
      </c>
      <c r="K21" s="32" t="inlineStr">
        <is>
          <t>High</t>
        </is>
      </c>
      <c r="L21" s="33" t="inlineStr">
        <is>
          <t>Vừa đạt thưởng cao vừa bị phạt nặng — Cần rà soát hiệu suất và quy trình.</t>
        </is>
      </c>
      <c r="M21" s="33" t="inlineStr">
        <is>
          <t>Manager đối chiếu bảng chấm công và KPI chi tiết.</t>
        </is>
      </c>
    </row>
    <row r="22" ht="20" customHeight="1">
      <c r="A22" s="29" t="n">
        <v>21</v>
      </c>
      <c r="B22" s="29" t="inlineStr">
        <is>
          <t>E041</t>
        </is>
      </c>
      <c r="C22" s="30" t="inlineStr">
        <is>
          <t>Employee_41</t>
        </is>
      </c>
      <c r="D22" s="29" t="inlineStr">
        <is>
          <t>Manager_C</t>
        </is>
      </c>
      <c r="E22" s="29" t="inlineStr">
        <is>
          <t>Operations</t>
        </is>
      </c>
      <c r="F22" s="31" t="n">
        <v>28985235</v>
      </c>
      <c r="G22" s="31" t="n">
        <v>3708108</v>
      </c>
      <c r="H22" s="31" t="n">
        <v>1593815</v>
      </c>
      <c r="I22" s="31" t="n">
        <v>31099528</v>
      </c>
      <c r="J22" s="29" t="inlineStr">
        <is>
          <t>High Penalty</t>
        </is>
      </c>
      <c r="K22" s="29" t="inlineStr">
        <is>
          <t>Medium</t>
        </is>
      </c>
      <c r="L22" s="30" t="inlineStr">
        <is>
          <t>Mức phạt 1,593,815đ chiếm 5.5% lương cơ bản.</t>
        </is>
      </c>
      <c r="M22" s="30" t="inlineStr">
        <is>
          <t>Xem xét lỗi vận hành lặp lại để huấn luyện lại.</t>
        </is>
      </c>
    </row>
    <row r="23" ht="20" customHeight="1">
      <c r="A23" s="26" t="n">
        <v>22</v>
      </c>
      <c r="B23" s="26" t="inlineStr">
        <is>
          <t>E042</t>
        </is>
      </c>
      <c r="C23" s="27" t="inlineStr">
        <is>
          <t>Employee_42</t>
        </is>
      </c>
      <c r="D23" s="26" t="inlineStr">
        <is>
          <t>Manager_A</t>
        </is>
      </c>
      <c r="E23" s="26" t="inlineStr">
        <is>
          <t>HR</t>
        </is>
      </c>
      <c r="F23" s="28" t="n">
        <v>16960920</v>
      </c>
      <c r="G23" s="28" t="n">
        <v>4607188</v>
      </c>
      <c r="H23" s="28" t="n">
        <v>274754</v>
      </c>
      <c r="I23" s="28" t="n">
        <v>21293354</v>
      </c>
      <c r="J23" s="26" t="inlineStr">
        <is>
          <t>High Bonus</t>
        </is>
      </c>
      <c r="K23" s="26" t="inlineStr">
        <is>
          <t>Low</t>
        </is>
      </c>
      <c r="L23" s="27" t="inlineStr">
        <is>
          <t>Thưởng vượt mức trần (4,607,188đ) — Top hiệu suất.</t>
        </is>
      </c>
      <c r="M23" s="27" t="inlineStr">
        <is>
          <t>Xác nhận phê duyệt từ Giám đốc vận hành.</t>
        </is>
      </c>
    </row>
    <row r="24" ht="20" customHeight="1">
      <c r="A24" s="26" t="n">
        <v>23</v>
      </c>
      <c r="B24" s="26" t="inlineStr">
        <is>
          <t>E044</t>
        </is>
      </c>
      <c r="C24" s="27" t="inlineStr">
        <is>
          <t>Employee_44</t>
        </is>
      </c>
      <c r="D24" s="26" t="inlineStr">
        <is>
          <t>Manager_B</t>
        </is>
      </c>
      <c r="E24" s="26" t="inlineStr">
        <is>
          <t>HR</t>
        </is>
      </c>
      <c r="F24" s="28" t="n">
        <v>18427044</v>
      </c>
      <c r="G24" s="28" t="n">
        <v>4620772</v>
      </c>
      <c r="H24" s="28" t="n">
        <v>28677</v>
      </c>
      <c r="I24" s="28" t="n">
        <v>23019139</v>
      </c>
      <c r="J24" s="26" t="inlineStr">
        <is>
          <t>High Bonus</t>
        </is>
      </c>
      <c r="K24" s="26" t="inlineStr">
        <is>
          <t>Low</t>
        </is>
      </c>
      <c r="L24" s="27" t="inlineStr">
        <is>
          <t>Thưởng vượt mức trần (4,620,772đ) — Top hiệu suất.</t>
        </is>
      </c>
      <c r="M24" s="27" t="inlineStr">
        <is>
          <t>Xác nhận phê duyệt từ Giám đốc vận hành.</t>
        </is>
      </c>
    </row>
    <row r="25" ht="20" customHeight="1">
      <c r="A25" s="29" t="n">
        <v>24</v>
      </c>
      <c r="B25" s="29" t="inlineStr">
        <is>
          <t>E048</t>
        </is>
      </c>
      <c r="C25" s="30" t="inlineStr">
        <is>
          <t>Employee_48</t>
        </is>
      </c>
      <c r="D25" s="29" t="inlineStr">
        <is>
          <t>Manager_D</t>
        </is>
      </c>
      <c r="E25" s="29" t="inlineStr">
        <is>
          <t>HR</t>
        </is>
      </c>
      <c r="F25" s="31" t="n">
        <v>20871010</v>
      </c>
      <c r="G25" s="31" t="n">
        <v>1598955</v>
      </c>
      <c r="H25" s="31" t="n">
        <v>1933297</v>
      </c>
      <c r="I25" s="31" t="n">
        <v>20536668</v>
      </c>
      <c r="J25" s="29" t="inlineStr">
        <is>
          <t>High Penalty</t>
        </is>
      </c>
      <c r="K25" s="29" t="inlineStr">
        <is>
          <t>Medium</t>
        </is>
      </c>
      <c r="L25" s="30" t="inlineStr">
        <is>
          <t>Mức phạt 1,933,297đ chiếm 9.3% lương cơ bản.</t>
        </is>
      </c>
      <c r="M25" s="30" t="inlineStr">
        <is>
          <t>Xem xét lỗi vận hành lặp lại để huấn luyện lại.</t>
        </is>
      </c>
    </row>
    <row r="26" ht="20" customHeight="1">
      <c r="A26" s="29" t="n">
        <v>25</v>
      </c>
      <c r="B26" s="29" t="inlineStr">
        <is>
          <t>E050</t>
        </is>
      </c>
      <c r="C26" s="30" t="inlineStr">
        <is>
          <t>Employee_50</t>
        </is>
      </c>
      <c r="D26" s="29" t="inlineStr">
        <is>
          <t>Manager_C</t>
        </is>
      </c>
      <c r="E26" s="29" t="inlineStr">
        <is>
          <t>Sales</t>
        </is>
      </c>
      <c r="F26" s="31" t="n">
        <v>17490501</v>
      </c>
      <c r="G26" s="31" t="n">
        <v>2504467</v>
      </c>
      <c r="H26" s="31" t="n">
        <v>1756314</v>
      </c>
      <c r="I26" s="31" t="n">
        <v>18238654</v>
      </c>
      <c r="J26" s="29" t="inlineStr">
        <is>
          <t>High Penalty</t>
        </is>
      </c>
      <c r="K26" s="29" t="inlineStr">
        <is>
          <t>Medium</t>
        </is>
      </c>
      <c r="L26" s="30" t="inlineStr">
        <is>
          <t>Mức phạt 1,756,314đ chiếm 10.0% lương cơ bản.</t>
        </is>
      </c>
      <c r="M26" s="30" t="inlineStr">
        <is>
          <t>Xem xét lỗi vận hành lặp lại để huấn luyện lại.</t>
        </is>
      </c>
    </row>
    <row r="27" ht="20" customHeight="1">
      <c r="A27" s="26" t="n">
        <v>26</v>
      </c>
      <c r="B27" s="26" t="inlineStr">
        <is>
          <t>E051</t>
        </is>
      </c>
      <c r="C27" s="27" t="inlineStr">
        <is>
          <t>Employee_51</t>
        </is>
      </c>
      <c r="D27" s="26" t="inlineStr">
        <is>
          <t>Manager_D</t>
        </is>
      </c>
      <c r="E27" s="26" t="inlineStr">
        <is>
          <t>HR</t>
        </is>
      </c>
      <c r="F27" s="28" t="n">
        <v>22983644</v>
      </c>
      <c r="G27" s="28" t="n">
        <v>4517941</v>
      </c>
      <c r="H27" s="28" t="n">
        <v>1015737</v>
      </c>
      <c r="I27" s="28" t="n">
        <v>26485848</v>
      </c>
      <c r="J27" s="26" t="inlineStr">
        <is>
          <t>High Bonus</t>
        </is>
      </c>
      <c r="K27" s="26" t="inlineStr">
        <is>
          <t>Low</t>
        </is>
      </c>
      <c r="L27" s="27" t="inlineStr">
        <is>
          <t>Thưởng vượt mức trần (4,517,941đ) — Top hiệu suất.</t>
        </is>
      </c>
      <c r="M27" s="27" t="inlineStr">
        <is>
          <t>Xác nhận phê duyệt từ Giám đốc vận hành.</t>
        </is>
      </c>
    </row>
    <row r="28" ht="20" customHeight="1">
      <c r="A28" s="26" t="n">
        <v>27</v>
      </c>
      <c r="B28" s="26" t="inlineStr">
        <is>
          <t>E052</t>
        </is>
      </c>
      <c r="C28" s="27" t="inlineStr">
        <is>
          <t>Employee_52</t>
        </is>
      </c>
      <c r="D28" s="26" t="inlineStr">
        <is>
          <t>Manager_C</t>
        </is>
      </c>
      <c r="E28" s="26" t="inlineStr">
        <is>
          <t>Finance</t>
        </is>
      </c>
      <c r="F28" s="28" t="n">
        <v>26519275</v>
      </c>
      <c r="G28" s="28" t="n">
        <v>4558621</v>
      </c>
      <c r="H28" s="28" t="n">
        <v>791066</v>
      </c>
      <c r="I28" s="28" t="n">
        <v>30286830</v>
      </c>
      <c r="J28" s="26" t="inlineStr">
        <is>
          <t>High Bonus</t>
        </is>
      </c>
      <c r="K28" s="26" t="inlineStr">
        <is>
          <t>Low</t>
        </is>
      </c>
      <c r="L28" s="27" t="inlineStr">
        <is>
          <t>Thưởng vượt mức trần (4,558,621đ) — Top hiệu suất.</t>
        </is>
      </c>
      <c r="M28" s="27" t="inlineStr">
        <is>
          <t>Xác nhận phê duyệt từ Giám đốc vận hành.</t>
        </is>
      </c>
    </row>
    <row r="29" ht="20" customHeight="1">
      <c r="A29" s="26" t="n">
        <v>28</v>
      </c>
      <c r="B29" s="26" t="inlineStr">
        <is>
          <t>E056</t>
        </is>
      </c>
      <c r="C29" s="27" t="inlineStr">
        <is>
          <t>Employee_56</t>
        </is>
      </c>
      <c r="D29" s="26" t="inlineStr">
        <is>
          <t>Manager_A</t>
        </is>
      </c>
      <c r="E29" s="26" t="inlineStr">
        <is>
          <t>HR</t>
        </is>
      </c>
      <c r="F29" s="28" t="n">
        <v>24854094</v>
      </c>
      <c r="G29" s="28" t="n">
        <v>4950792</v>
      </c>
      <c r="H29" s="28" t="n">
        <v>696243</v>
      </c>
      <c r="I29" s="28" t="n">
        <v>29108643</v>
      </c>
      <c r="J29" s="26" t="inlineStr">
        <is>
          <t>High Bonus</t>
        </is>
      </c>
      <c r="K29" s="26" t="inlineStr">
        <is>
          <t>Low</t>
        </is>
      </c>
      <c r="L29" s="27" t="inlineStr">
        <is>
          <t>Thưởng vượt mức trần (4,950,792đ) — Top hiệu suất.</t>
        </is>
      </c>
      <c r="M29" s="27" t="inlineStr">
        <is>
          <t>Xác nhận phê duyệt từ Giám đốc vận hành.</t>
        </is>
      </c>
    </row>
    <row r="30" ht="20" customHeight="1">
      <c r="A30" s="32" t="n">
        <v>29</v>
      </c>
      <c r="B30" s="32" t="inlineStr">
        <is>
          <t>E057</t>
        </is>
      </c>
      <c r="C30" s="33" t="inlineStr">
        <is>
          <t>Employee_57</t>
        </is>
      </c>
      <c r="D30" s="32" t="inlineStr">
        <is>
          <t>Manager_A</t>
        </is>
      </c>
      <c r="E30" s="32" t="inlineStr">
        <is>
          <t>Operations</t>
        </is>
      </c>
      <c r="F30" s="34" t="n">
        <v>11345769</v>
      </c>
      <c r="G30" s="34" t="n">
        <v>4411997</v>
      </c>
      <c r="H30" s="34" t="n">
        <v>1909334</v>
      </c>
      <c r="I30" s="34" t="n">
        <v>13848432</v>
      </c>
      <c r="J30" s="32" t="inlineStr">
        <is>
          <t>Dual Anomaly</t>
        </is>
      </c>
      <c r="K30" s="32" t="inlineStr">
        <is>
          <t>High</t>
        </is>
      </c>
      <c r="L30" s="33" t="inlineStr">
        <is>
          <t>Vừa đạt thưởng cao vừa bị phạt nặng — Cần rà soát hiệu suất và quy trình.</t>
        </is>
      </c>
      <c r="M30" s="33" t="inlineStr">
        <is>
          <t>Manager đối chiếu bảng chấm công và KPI chi tiết.</t>
        </is>
      </c>
    </row>
    <row r="31" ht="20" customHeight="1">
      <c r="A31" s="29" t="n">
        <v>30</v>
      </c>
      <c r="B31" s="29" t="inlineStr">
        <is>
          <t>E058</t>
        </is>
      </c>
      <c r="C31" s="30" t="inlineStr">
        <is>
          <t>Employee_58</t>
        </is>
      </c>
      <c r="D31" s="29" t="inlineStr">
        <is>
          <t>Manager_D</t>
        </is>
      </c>
      <c r="E31" s="29" t="inlineStr">
        <is>
          <t>Sales</t>
        </is>
      </c>
      <c r="F31" s="31" t="n">
        <v>12837053</v>
      </c>
      <c r="G31" s="31" t="n">
        <v>3439149</v>
      </c>
      <c r="H31" s="31" t="n">
        <v>1826478</v>
      </c>
      <c r="I31" s="31" t="n">
        <v>14449724</v>
      </c>
      <c r="J31" s="29" t="inlineStr">
        <is>
          <t>High Penalty</t>
        </is>
      </c>
      <c r="K31" s="29" t="inlineStr">
        <is>
          <t>Medium</t>
        </is>
      </c>
      <c r="L31" s="30" t="inlineStr">
        <is>
          <t>Mức phạt 1,826,478đ chiếm 14.2% lương cơ bản.</t>
        </is>
      </c>
      <c r="M31" s="30" t="inlineStr">
        <is>
          <t>Xem xét lỗi vận hành lặp lại để huấn luyện lại.</t>
        </is>
      </c>
    </row>
    <row r="32" ht="20" customHeight="1">
      <c r="A32" s="26" t="n">
        <v>31</v>
      </c>
      <c r="B32" s="26" t="inlineStr">
        <is>
          <t>E060</t>
        </is>
      </c>
      <c r="C32" s="27" t="inlineStr">
        <is>
          <t>Employee_60</t>
        </is>
      </c>
      <c r="D32" s="26" t="inlineStr">
        <is>
          <t>Manager_D</t>
        </is>
      </c>
      <c r="E32" s="26" t="inlineStr">
        <is>
          <t>Sales</t>
        </is>
      </c>
      <c r="F32" s="28" t="n">
        <v>19024831</v>
      </c>
      <c r="G32" s="28" t="n">
        <v>4476348</v>
      </c>
      <c r="H32" s="28" t="n">
        <v>796937</v>
      </c>
      <c r="I32" s="28" t="n">
        <v>22704242</v>
      </c>
      <c r="J32" s="26" t="inlineStr">
        <is>
          <t>High Bonus</t>
        </is>
      </c>
      <c r="K32" s="26" t="inlineStr">
        <is>
          <t>Low</t>
        </is>
      </c>
      <c r="L32" s="27" t="inlineStr">
        <is>
          <t>Thưởng vượt mức trần (4,476,348đ) — Top hiệu suất.</t>
        </is>
      </c>
      <c r="M32" s="27" t="inlineStr">
        <is>
          <t>Xác nhận phê duyệt từ Giám đốc vận hành.</t>
        </is>
      </c>
    </row>
    <row r="33" ht="20" customHeight="1">
      <c r="A33" s="26" t="n">
        <v>32</v>
      </c>
      <c r="B33" s="26" t="inlineStr">
        <is>
          <t>E068</t>
        </is>
      </c>
      <c r="C33" s="27" t="inlineStr">
        <is>
          <t>Employee_68</t>
        </is>
      </c>
      <c r="D33" s="26" t="inlineStr">
        <is>
          <t>Manager_D</t>
        </is>
      </c>
      <c r="E33" s="26" t="inlineStr">
        <is>
          <t>HR</t>
        </is>
      </c>
      <c r="F33" s="28" t="n">
        <v>24698941</v>
      </c>
      <c r="G33" s="28" t="n">
        <v>4891876</v>
      </c>
      <c r="H33" s="28" t="n">
        <v>300139</v>
      </c>
      <c r="I33" s="28" t="n">
        <v>29290678</v>
      </c>
      <c r="J33" s="26" t="inlineStr">
        <is>
          <t>High Bonus</t>
        </is>
      </c>
      <c r="K33" s="26" t="inlineStr">
        <is>
          <t>Low</t>
        </is>
      </c>
      <c r="L33" s="27" t="inlineStr">
        <is>
          <t>Thưởng vượt mức trần (4,891,876đ) — Top hiệu suất.</t>
        </is>
      </c>
      <c r="M33" s="27" t="inlineStr">
        <is>
          <t>Xác nhận phê duyệt từ Giám đốc vận hành.</t>
        </is>
      </c>
    </row>
    <row r="34" ht="20" customHeight="1">
      <c r="A34" s="29" t="n">
        <v>33</v>
      </c>
      <c r="B34" s="29" t="inlineStr">
        <is>
          <t>E072</t>
        </is>
      </c>
      <c r="C34" s="30" t="inlineStr">
        <is>
          <t>Employee_72</t>
        </is>
      </c>
      <c r="D34" s="29" t="inlineStr">
        <is>
          <t>Manager_C</t>
        </is>
      </c>
      <c r="E34" s="29" t="inlineStr">
        <is>
          <t>Operations</t>
        </is>
      </c>
      <c r="F34" s="31" t="n">
        <v>16391903</v>
      </c>
      <c r="G34" s="31" t="n">
        <v>3832216</v>
      </c>
      <c r="H34" s="31" t="n">
        <v>1772730</v>
      </c>
      <c r="I34" s="31" t="n">
        <v>18451389</v>
      </c>
      <c r="J34" s="29" t="inlineStr">
        <is>
          <t>High Penalty</t>
        </is>
      </c>
      <c r="K34" s="29" t="inlineStr">
        <is>
          <t>Medium</t>
        </is>
      </c>
      <c r="L34" s="30" t="inlineStr">
        <is>
          <t>Mức phạt 1,772,730đ chiếm 10.8% lương cơ bản.</t>
        </is>
      </c>
      <c r="M34" s="30" t="inlineStr">
        <is>
          <t>Xem xét lỗi vận hành lặp lại để huấn luyện lại.</t>
        </is>
      </c>
    </row>
    <row r="35" ht="20" customHeight="1">
      <c r="A35" s="26" t="n">
        <v>34</v>
      </c>
      <c r="B35" s="26" t="inlineStr">
        <is>
          <t>E073</t>
        </is>
      </c>
      <c r="C35" s="27" t="inlineStr">
        <is>
          <t>Employee_73</t>
        </is>
      </c>
      <c r="D35" s="26" t="inlineStr">
        <is>
          <t>Manager_C</t>
        </is>
      </c>
      <c r="E35" s="26" t="inlineStr">
        <is>
          <t>HR</t>
        </is>
      </c>
      <c r="F35" s="28" t="n">
        <v>20908163</v>
      </c>
      <c r="G35" s="28" t="n">
        <v>4053443</v>
      </c>
      <c r="H35" s="28" t="n">
        <v>223668</v>
      </c>
      <c r="I35" s="28" t="n">
        <v>24737938</v>
      </c>
      <c r="J35" s="26" t="inlineStr">
        <is>
          <t>High Bonus</t>
        </is>
      </c>
      <c r="K35" s="26" t="inlineStr">
        <is>
          <t>Low</t>
        </is>
      </c>
      <c r="L35" s="27" t="inlineStr">
        <is>
          <t>Thưởng vượt mức trần (4,053,443đ) — Top hiệu suất.</t>
        </is>
      </c>
      <c r="M35" s="27" t="inlineStr">
        <is>
          <t>Xác nhận phê duyệt từ Giám đốc vận hành.</t>
        </is>
      </c>
    </row>
    <row r="36" ht="20" customHeight="1">
      <c r="A36" s="32" t="n">
        <v>35</v>
      </c>
      <c r="B36" s="32" t="inlineStr">
        <is>
          <t>E076</t>
        </is>
      </c>
      <c r="C36" s="33" t="inlineStr">
        <is>
          <t>Employee_76</t>
        </is>
      </c>
      <c r="D36" s="32" t="inlineStr">
        <is>
          <t>Manager_A</t>
        </is>
      </c>
      <c r="E36" s="32" t="inlineStr">
        <is>
          <t>Sales</t>
        </is>
      </c>
      <c r="F36" s="34" t="n">
        <v>28347625</v>
      </c>
      <c r="G36" s="34" t="n">
        <v>4166850</v>
      </c>
      <c r="H36" s="34" t="n">
        <v>1746589</v>
      </c>
      <c r="I36" s="34" t="n">
        <v>30767886</v>
      </c>
      <c r="J36" s="32" t="inlineStr">
        <is>
          <t>Dual Anomaly</t>
        </is>
      </c>
      <c r="K36" s="32" t="inlineStr">
        <is>
          <t>High</t>
        </is>
      </c>
      <c r="L36" s="33" t="inlineStr">
        <is>
          <t>Vừa đạt thưởng cao vừa bị phạt nặng — Cần rà soát hiệu suất và quy trình.</t>
        </is>
      </c>
      <c r="M36" s="33" t="inlineStr">
        <is>
          <t>Manager đối chiếu bảng chấm công và KPI chi tiết.</t>
        </is>
      </c>
    </row>
    <row r="37" ht="20" customHeight="1">
      <c r="A37" s="29" t="n">
        <v>36</v>
      </c>
      <c r="B37" s="29" t="inlineStr">
        <is>
          <t>E078</t>
        </is>
      </c>
      <c r="C37" s="30" t="inlineStr">
        <is>
          <t>Employee_78</t>
        </is>
      </c>
      <c r="D37" s="29" t="inlineStr">
        <is>
          <t>Manager_B</t>
        </is>
      </c>
      <c r="E37" s="29" t="inlineStr">
        <is>
          <t>Finance</t>
        </is>
      </c>
      <c r="F37" s="31" t="n">
        <v>12589549</v>
      </c>
      <c r="G37" s="31" t="n">
        <v>815070</v>
      </c>
      <c r="H37" s="31" t="n">
        <v>1894574</v>
      </c>
      <c r="I37" s="31" t="n">
        <v>11510045</v>
      </c>
      <c r="J37" s="29" t="inlineStr">
        <is>
          <t>High Penalty</t>
        </is>
      </c>
      <c r="K37" s="29" t="inlineStr">
        <is>
          <t>Medium</t>
        </is>
      </c>
      <c r="L37" s="30" t="inlineStr">
        <is>
          <t>Mức phạt 1,894,574đ chiếm 15.0% lương cơ bản.</t>
        </is>
      </c>
      <c r="M37" s="30" t="inlineStr">
        <is>
          <t>Xem xét lỗi vận hành lặp lại để huấn luyện lại.</t>
        </is>
      </c>
    </row>
    <row r="38" ht="20" customHeight="1">
      <c r="A38" s="29" t="n">
        <v>37</v>
      </c>
      <c r="B38" s="29" t="inlineStr">
        <is>
          <t>E081</t>
        </is>
      </c>
      <c r="C38" s="30" t="inlineStr">
        <is>
          <t>Employee_81</t>
        </is>
      </c>
      <c r="D38" s="29" t="inlineStr">
        <is>
          <t>Manager_D</t>
        </is>
      </c>
      <c r="E38" s="29" t="inlineStr">
        <is>
          <t>HR</t>
        </is>
      </c>
      <c r="F38" s="31" t="n">
        <v>14737555</v>
      </c>
      <c r="G38" s="31" t="n">
        <v>1108636</v>
      </c>
      <c r="H38" s="31" t="n">
        <v>1649436</v>
      </c>
      <c r="I38" s="31" t="n">
        <v>14196755</v>
      </c>
      <c r="J38" s="29" t="inlineStr">
        <is>
          <t>High Penalty</t>
        </is>
      </c>
      <c r="K38" s="29" t="inlineStr">
        <is>
          <t>Medium</t>
        </is>
      </c>
      <c r="L38" s="30" t="inlineStr">
        <is>
          <t>Mức phạt 1,649,436đ chiếm 11.2% lương cơ bản.</t>
        </is>
      </c>
      <c r="M38" s="30" t="inlineStr">
        <is>
          <t>Xem xét lỗi vận hành lặp lại để huấn luyện lại.</t>
        </is>
      </c>
    </row>
    <row r="39" ht="20" customHeight="1">
      <c r="A39" s="29" t="n">
        <v>38</v>
      </c>
      <c r="B39" s="29" t="inlineStr">
        <is>
          <t>E082</t>
        </is>
      </c>
      <c r="C39" s="30" t="inlineStr">
        <is>
          <t>Employee_82</t>
        </is>
      </c>
      <c r="D39" s="29" t="inlineStr">
        <is>
          <t>Manager_C</t>
        </is>
      </c>
      <c r="E39" s="29" t="inlineStr">
        <is>
          <t>Finance</t>
        </is>
      </c>
      <c r="F39" s="31" t="n">
        <v>13521194</v>
      </c>
      <c r="G39" s="31" t="n">
        <v>2155621</v>
      </c>
      <c r="H39" s="31" t="n">
        <v>1916899</v>
      </c>
      <c r="I39" s="31" t="n">
        <v>13759916</v>
      </c>
      <c r="J39" s="29" t="inlineStr">
        <is>
          <t>High Penalty</t>
        </is>
      </c>
      <c r="K39" s="29" t="inlineStr">
        <is>
          <t>Medium</t>
        </is>
      </c>
      <c r="L39" s="30" t="inlineStr">
        <is>
          <t>Mức phạt 1,916,899đ chiếm 14.2% lương cơ bản.</t>
        </is>
      </c>
      <c r="M39" s="30" t="inlineStr">
        <is>
          <t>Xem xét lỗi vận hành lặp lại để huấn luyện lại.</t>
        </is>
      </c>
    </row>
    <row r="40" ht="20" customHeight="1">
      <c r="A40" s="29" t="n">
        <v>39</v>
      </c>
      <c r="B40" s="29" t="inlineStr">
        <is>
          <t>E084</t>
        </is>
      </c>
      <c r="C40" s="30" t="inlineStr">
        <is>
          <t>Employee_84</t>
        </is>
      </c>
      <c r="D40" s="29" t="inlineStr">
        <is>
          <t>Manager_A</t>
        </is>
      </c>
      <c r="E40" s="29" t="inlineStr">
        <is>
          <t>HR</t>
        </is>
      </c>
      <c r="F40" s="31" t="n">
        <v>15570372</v>
      </c>
      <c r="G40" s="31" t="n">
        <v>3333729</v>
      </c>
      <c r="H40" s="31" t="n">
        <v>1773654</v>
      </c>
      <c r="I40" s="31" t="n">
        <v>17130447</v>
      </c>
      <c r="J40" s="29" t="inlineStr">
        <is>
          <t>High Penalty</t>
        </is>
      </c>
      <c r="K40" s="29" t="inlineStr">
        <is>
          <t>Medium</t>
        </is>
      </c>
      <c r="L40" s="30" t="inlineStr">
        <is>
          <t>Mức phạt 1,773,654đ chiếm 11.4% lương cơ bản.</t>
        </is>
      </c>
      <c r="M40" s="30" t="inlineStr">
        <is>
          <t>Xem xét lỗi vận hành lặp lại để huấn luyện lại.</t>
        </is>
      </c>
    </row>
    <row r="41" ht="20" customHeight="1">
      <c r="A41" s="29" t="n">
        <v>40</v>
      </c>
      <c r="B41" s="29" t="inlineStr">
        <is>
          <t>E090</t>
        </is>
      </c>
      <c r="C41" s="30" t="inlineStr">
        <is>
          <t>Employee_90</t>
        </is>
      </c>
      <c r="D41" s="29" t="inlineStr">
        <is>
          <t>Manager_B</t>
        </is>
      </c>
      <c r="E41" s="29" t="inlineStr">
        <is>
          <t>Sales</t>
        </is>
      </c>
      <c r="F41" s="31" t="n">
        <v>9248631</v>
      </c>
      <c r="G41" s="31" t="n">
        <v>2553195</v>
      </c>
      <c r="H41" s="31" t="n">
        <v>1033108</v>
      </c>
      <c r="I41" s="31" t="n">
        <v>10768718</v>
      </c>
      <c r="J41" s="29" t="inlineStr">
        <is>
          <t>High Penalty</t>
        </is>
      </c>
      <c r="K41" s="29" t="inlineStr">
        <is>
          <t>Medium</t>
        </is>
      </c>
      <c r="L41" s="30" t="inlineStr">
        <is>
          <t>Mức phạt 1,033,108đ chiếm 11.2% lương cơ bản.</t>
        </is>
      </c>
      <c r="M41" s="30" t="inlineStr">
        <is>
          <t>Xem xét lỗi vận hành lặp lại để huấn luyện lại.</t>
        </is>
      </c>
    </row>
    <row r="42" ht="20" customHeight="1">
      <c r="A42" s="26" t="n">
        <v>41</v>
      </c>
      <c r="B42" s="26" t="inlineStr">
        <is>
          <t>E091</t>
        </is>
      </c>
      <c r="C42" s="27" t="inlineStr">
        <is>
          <t>Employee_91</t>
        </is>
      </c>
      <c r="D42" s="26" t="inlineStr">
        <is>
          <t>Manager_A</t>
        </is>
      </c>
      <c r="E42" s="26" t="inlineStr">
        <is>
          <t>Sales</t>
        </is>
      </c>
      <c r="F42" s="28" t="n">
        <v>15878581</v>
      </c>
      <c r="G42" s="28" t="n">
        <v>4509267</v>
      </c>
      <c r="H42" s="28" t="n">
        <v>284508</v>
      </c>
      <c r="I42" s="28" t="n">
        <v>20103340</v>
      </c>
      <c r="J42" s="26" t="inlineStr">
        <is>
          <t>High Bonus</t>
        </is>
      </c>
      <c r="K42" s="26" t="inlineStr">
        <is>
          <t>Low</t>
        </is>
      </c>
      <c r="L42" s="27" t="inlineStr">
        <is>
          <t>Thưởng vượt mức trần (4,509,267đ) — Top hiệu suất.</t>
        </is>
      </c>
      <c r="M42" s="27" t="inlineStr">
        <is>
          <t>Xác nhận phê duyệt từ Giám đốc vận hành.</t>
        </is>
      </c>
    </row>
    <row r="43" ht="20" customHeight="1">
      <c r="A43" s="26" t="n">
        <v>42</v>
      </c>
      <c r="B43" s="26" t="inlineStr">
        <is>
          <t>E092</t>
        </is>
      </c>
      <c r="C43" s="27" t="inlineStr">
        <is>
          <t>Employee_92</t>
        </is>
      </c>
      <c r="D43" s="26" t="inlineStr">
        <is>
          <t>Manager_D</t>
        </is>
      </c>
      <c r="E43" s="26" t="inlineStr">
        <is>
          <t>Operations</t>
        </is>
      </c>
      <c r="F43" s="28" t="n">
        <v>20449080</v>
      </c>
      <c r="G43" s="28" t="n">
        <v>4531463</v>
      </c>
      <c r="H43" s="28" t="n">
        <v>878972</v>
      </c>
      <c r="I43" s="28" t="n">
        <v>24101571</v>
      </c>
      <c r="J43" s="26" t="inlineStr">
        <is>
          <t>High Bonus</t>
        </is>
      </c>
      <c r="K43" s="26" t="inlineStr">
        <is>
          <t>Low</t>
        </is>
      </c>
      <c r="L43" s="27" t="inlineStr">
        <is>
          <t>Thưởng vượt mức trần (4,531,463đ) — Top hiệu suất.</t>
        </is>
      </c>
      <c r="M43" s="27" t="inlineStr">
        <is>
          <t>Xác nhận phê duyệt từ Giám đốc vận hành.</t>
        </is>
      </c>
    </row>
    <row r="44" ht="20" customHeight="1">
      <c r="A44" s="29" t="n">
        <v>43</v>
      </c>
      <c r="B44" s="29" t="inlineStr">
        <is>
          <t>E093</t>
        </is>
      </c>
      <c r="C44" s="30" t="inlineStr">
        <is>
          <t>Employee_93</t>
        </is>
      </c>
      <c r="D44" s="29" t="inlineStr">
        <is>
          <t>Manager_B</t>
        </is>
      </c>
      <c r="E44" s="29" t="inlineStr">
        <is>
          <t>Operations</t>
        </is>
      </c>
      <c r="F44" s="31" t="n">
        <v>29975532</v>
      </c>
      <c r="G44" s="31" t="n">
        <v>830653</v>
      </c>
      <c r="H44" s="31" t="n">
        <v>1748381</v>
      </c>
      <c r="I44" s="31" t="n">
        <v>29057804</v>
      </c>
      <c r="J44" s="29" t="inlineStr">
        <is>
          <t>High Penalty</t>
        </is>
      </c>
      <c r="K44" s="29" t="inlineStr">
        <is>
          <t>Medium</t>
        </is>
      </c>
      <c r="L44" s="30" t="inlineStr">
        <is>
          <t>Mức phạt 1,748,381đ chiếm 5.8% lương cơ bản.</t>
        </is>
      </c>
      <c r="M44" s="30" t="inlineStr">
        <is>
          <t>Xem xét lỗi vận hành lặp lại để huấn luyện lại.</t>
        </is>
      </c>
    </row>
    <row r="45" ht="20" customHeight="1">
      <c r="A45" s="29" t="n">
        <v>44</v>
      </c>
      <c r="B45" s="29" t="inlineStr">
        <is>
          <t>E095</t>
        </is>
      </c>
      <c r="C45" s="30" t="inlineStr">
        <is>
          <t>Employee_95</t>
        </is>
      </c>
      <c r="D45" s="29" t="inlineStr">
        <is>
          <t>Manager_C</t>
        </is>
      </c>
      <c r="E45" s="29" t="inlineStr">
        <is>
          <t>HR</t>
        </is>
      </c>
      <c r="F45" s="31" t="n">
        <v>22877467</v>
      </c>
      <c r="G45" s="31" t="n">
        <v>3730379</v>
      </c>
      <c r="H45" s="31" t="n">
        <v>1993458</v>
      </c>
      <c r="I45" s="31" t="n">
        <v>24614388</v>
      </c>
      <c r="J45" s="29" t="inlineStr">
        <is>
          <t>High Penalty</t>
        </is>
      </c>
      <c r="K45" s="29" t="inlineStr">
        <is>
          <t>Medium</t>
        </is>
      </c>
      <c r="L45" s="30" t="inlineStr">
        <is>
          <t>Mức phạt 1,993,458đ chiếm 8.7% lương cơ bản.</t>
        </is>
      </c>
      <c r="M45" s="30" t="inlineStr">
        <is>
          <t>Xem xét lỗi vận hành lặp lại để huấn luyện lại.</t>
        </is>
      </c>
    </row>
    <row r="46" ht="20" customHeight="1">
      <c r="A46" s="29" t="n">
        <v>45</v>
      </c>
      <c r="B46" s="29" t="inlineStr">
        <is>
          <t>E096</t>
        </is>
      </c>
      <c r="C46" s="30" t="inlineStr">
        <is>
          <t>Employee_96</t>
        </is>
      </c>
      <c r="D46" s="29" t="inlineStr">
        <is>
          <t>Manager_B</t>
        </is>
      </c>
      <c r="E46" s="29" t="inlineStr">
        <is>
          <t>Finance</t>
        </is>
      </c>
      <c r="F46" s="31" t="n">
        <v>11333787</v>
      </c>
      <c r="G46" s="31" t="n">
        <v>3081428</v>
      </c>
      <c r="H46" s="31" t="n">
        <v>1141827</v>
      </c>
      <c r="I46" s="31" t="n">
        <v>13273388</v>
      </c>
      <c r="J46" s="29" t="inlineStr">
        <is>
          <t>High Penalty</t>
        </is>
      </c>
      <c r="K46" s="29" t="inlineStr">
        <is>
          <t>Medium</t>
        </is>
      </c>
      <c r="L46" s="30" t="inlineStr">
        <is>
          <t>Mức phạt 1,141,827đ chiếm 10.1% lương cơ bản.</t>
        </is>
      </c>
      <c r="M46" s="30" t="inlineStr">
        <is>
          <t>Xem xét lỗi vận hành lặp lại để huấn luyện lại.</t>
        </is>
      </c>
    </row>
    <row r="47" ht="20" customHeight="1">
      <c r="A47" s="29" t="n">
        <v>46</v>
      </c>
      <c r="B47" s="29" t="inlineStr">
        <is>
          <t>E098</t>
        </is>
      </c>
      <c r="C47" s="30" t="inlineStr">
        <is>
          <t>Employee_98</t>
        </is>
      </c>
      <c r="D47" s="29" t="inlineStr">
        <is>
          <t>Manager_A</t>
        </is>
      </c>
      <c r="E47" s="29" t="inlineStr">
        <is>
          <t>Operations</t>
        </is>
      </c>
      <c r="F47" s="31" t="n">
        <v>11076049</v>
      </c>
      <c r="G47" s="31" t="n">
        <v>1779272</v>
      </c>
      <c r="H47" s="31" t="n">
        <v>1345751</v>
      </c>
      <c r="I47" s="31" t="n">
        <v>11509570</v>
      </c>
      <c r="J47" s="29" t="inlineStr">
        <is>
          <t>High Penalty</t>
        </is>
      </c>
      <c r="K47" s="29" t="inlineStr">
        <is>
          <t>Medium</t>
        </is>
      </c>
      <c r="L47" s="30" t="inlineStr">
        <is>
          <t>Mức phạt 1,345,751đ chiếm 12.2% lương cơ bản.</t>
        </is>
      </c>
      <c r="M47" s="30" t="inlineStr">
        <is>
          <t>Xem xét lỗi vận hành lặp lại để huấn luyện lại.</t>
        </is>
      </c>
    </row>
    <row r="48" ht="20" customHeight="1">
      <c r="A48" s="29" t="n">
        <v>47</v>
      </c>
      <c r="B48" s="29" t="inlineStr">
        <is>
          <t>E101</t>
        </is>
      </c>
      <c r="C48" s="30" t="inlineStr">
        <is>
          <t>Employee_101</t>
        </is>
      </c>
      <c r="D48" s="29" t="inlineStr">
        <is>
          <t>Manager_B</t>
        </is>
      </c>
      <c r="E48" s="29" t="inlineStr">
        <is>
          <t>HR</t>
        </is>
      </c>
      <c r="F48" s="31" t="n">
        <v>19024629</v>
      </c>
      <c r="G48" s="31" t="n">
        <v>1237774</v>
      </c>
      <c r="H48" s="31" t="n">
        <v>1653905</v>
      </c>
      <c r="I48" s="31" t="n">
        <v>18608498</v>
      </c>
      <c r="J48" s="29" t="inlineStr">
        <is>
          <t>High Penalty</t>
        </is>
      </c>
      <c r="K48" s="29" t="inlineStr">
        <is>
          <t>Medium</t>
        </is>
      </c>
      <c r="L48" s="30" t="inlineStr">
        <is>
          <t>Mức phạt 1,653,905đ chiếm 8.7% lương cơ bản.</t>
        </is>
      </c>
      <c r="M48" s="30" t="inlineStr">
        <is>
          <t>Xem xét lỗi vận hành lặp lại để huấn luyện lại.</t>
        </is>
      </c>
    </row>
    <row r="49" ht="20" customHeight="1">
      <c r="A49" s="26" t="n">
        <v>48</v>
      </c>
      <c r="B49" s="26" t="inlineStr">
        <is>
          <t>E104</t>
        </is>
      </c>
      <c r="C49" s="27" t="inlineStr">
        <is>
          <t>Employee_104</t>
        </is>
      </c>
      <c r="D49" s="26" t="inlineStr">
        <is>
          <t>Manager_A</t>
        </is>
      </c>
      <c r="E49" s="26" t="inlineStr">
        <is>
          <t>Finance</t>
        </is>
      </c>
      <c r="F49" s="28" t="n">
        <v>15983659</v>
      </c>
      <c r="G49" s="28" t="n">
        <v>4939656</v>
      </c>
      <c r="H49" s="28" t="n">
        <v>678997</v>
      </c>
      <c r="I49" s="28" t="n">
        <v>20244318</v>
      </c>
      <c r="J49" s="26" t="inlineStr">
        <is>
          <t>High Bonus</t>
        </is>
      </c>
      <c r="K49" s="26" t="inlineStr">
        <is>
          <t>Low</t>
        </is>
      </c>
      <c r="L49" s="27" t="inlineStr">
        <is>
          <t>Thưởng vượt mức trần (4,939,656đ) — Top hiệu suất.</t>
        </is>
      </c>
      <c r="M49" s="27" t="inlineStr">
        <is>
          <t>Xác nhận phê duyệt từ Giám đốc vận hành.</t>
        </is>
      </c>
    </row>
    <row r="50" ht="20" customHeight="1">
      <c r="A50" s="26" t="n">
        <v>49</v>
      </c>
      <c r="B50" s="26" t="inlineStr">
        <is>
          <t>E107</t>
        </is>
      </c>
      <c r="C50" s="27" t="inlineStr">
        <is>
          <t>Employee_107</t>
        </is>
      </c>
      <c r="D50" s="26" t="inlineStr">
        <is>
          <t>Manager_C</t>
        </is>
      </c>
      <c r="E50" s="26" t="inlineStr">
        <is>
          <t>Sales</t>
        </is>
      </c>
      <c r="F50" s="28" t="n">
        <v>23166785</v>
      </c>
      <c r="G50" s="28" t="n">
        <v>4226505</v>
      </c>
      <c r="H50" s="28" t="n">
        <v>464623</v>
      </c>
      <c r="I50" s="28" t="n">
        <v>26928667</v>
      </c>
      <c r="J50" s="26" t="inlineStr">
        <is>
          <t>High Bonus</t>
        </is>
      </c>
      <c r="K50" s="26" t="inlineStr">
        <is>
          <t>Low</t>
        </is>
      </c>
      <c r="L50" s="27" t="inlineStr">
        <is>
          <t>Thưởng vượt mức trần (4,226,505đ) — Top hiệu suất.</t>
        </is>
      </c>
      <c r="M50" s="27" t="inlineStr">
        <is>
          <t>Xác nhận phê duyệt từ Giám đốc vận hành.</t>
        </is>
      </c>
    </row>
    <row r="51" ht="20" customHeight="1">
      <c r="A51" s="29" t="n">
        <v>50</v>
      </c>
      <c r="B51" s="29" t="inlineStr">
        <is>
          <t>E110</t>
        </is>
      </c>
      <c r="C51" s="30" t="inlineStr">
        <is>
          <t>Employee_110</t>
        </is>
      </c>
      <c r="D51" s="29" t="inlineStr">
        <is>
          <t>Manager_D</t>
        </is>
      </c>
      <c r="E51" s="29" t="inlineStr">
        <is>
          <t>Sales</t>
        </is>
      </c>
      <c r="F51" s="31" t="n">
        <v>10710878</v>
      </c>
      <c r="G51" s="31" t="n">
        <v>2702069</v>
      </c>
      <c r="H51" s="31" t="n">
        <v>1275692</v>
      </c>
      <c r="I51" s="31" t="n">
        <v>12137255</v>
      </c>
      <c r="J51" s="29" t="inlineStr">
        <is>
          <t>High Penalty</t>
        </is>
      </c>
      <c r="K51" s="29" t="inlineStr">
        <is>
          <t>Medium</t>
        </is>
      </c>
      <c r="L51" s="30" t="inlineStr">
        <is>
          <t>Mức phạt 1,275,692đ chiếm 11.9% lương cơ bản.</t>
        </is>
      </c>
      <c r="M51" s="30" t="inlineStr">
        <is>
          <t>Xem xét lỗi vận hành lặp lại để huấn luyện lại.</t>
        </is>
      </c>
    </row>
    <row r="52" ht="20" customHeight="1">
      <c r="A52" s="29" t="n">
        <v>51</v>
      </c>
      <c r="B52" s="29" t="inlineStr">
        <is>
          <t>E111</t>
        </is>
      </c>
      <c r="C52" s="30" t="inlineStr">
        <is>
          <t>Employee_111</t>
        </is>
      </c>
      <c r="D52" s="29" t="inlineStr">
        <is>
          <t>Manager_B</t>
        </is>
      </c>
      <c r="E52" s="29" t="inlineStr">
        <is>
          <t>Sales</t>
        </is>
      </c>
      <c r="F52" s="31" t="n">
        <v>12234287</v>
      </c>
      <c r="G52" s="31" t="n">
        <v>2307001</v>
      </c>
      <c r="H52" s="31" t="n">
        <v>1309288</v>
      </c>
      <c r="I52" s="31" t="n">
        <v>13232000</v>
      </c>
      <c r="J52" s="29" t="inlineStr">
        <is>
          <t>High Penalty</t>
        </is>
      </c>
      <c r="K52" s="29" t="inlineStr">
        <is>
          <t>Medium</t>
        </is>
      </c>
      <c r="L52" s="30" t="inlineStr">
        <is>
          <t>Mức phạt 1,309,288đ chiếm 10.7% lương cơ bản.</t>
        </is>
      </c>
      <c r="M52" s="30" t="inlineStr">
        <is>
          <t>Xem xét lỗi vận hành lặp lại để huấn luyện lại.</t>
        </is>
      </c>
    </row>
    <row r="53" ht="20" customHeight="1">
      <c r="A53" s="26" t="n">
        <v>52</v>
      </c>
      <c r="B53" s="26" t="inlineStr">
        <is>
          <t>E112</t>
        </is>
      </c>
      <c r="C53" s="27" t="inlineStr">
        <is>
          <t>Employee_112</t>
        </is>
      </c>
      <c r="D53" s="26" t="inlineStr">
        <is>
          <t>Manager_C</t>
        </is>
      </c>
      <c r="E53" s="26" t="inlineStr">
        <is>
          <t>Operations</t>
        </is>
      </c>
      <c r="F53" s="28" t="n">
        <v>28045144</v>
      </c>
      <c r="G53" s="28" t="n">
        <v>4450633</v>
      </c>
      <c r="H53" s="28" t="n">
        <v>618445</v>
      </c>
      <c r="I53" s="28" t="n">
        <v>31877332</v>
      </c>
      <c r="J53" s="26" t="inlineStr">
        <is>
          <t>High Bonus</t>
        </is>
      </c>
      <c r="K53" s="26" t="inlineStr">
        <is>
          <t>Low</t>
        </is>
      </c>
      <c r="L53" s="27" t="inlineStr">
        <is>
          <t>Thưởng vượt mức trần (4,450,633đ) — Top hiệu suất.</t>
        </is>
      </c>
      <c r="M53" s="27" t="inlineStr">
        <is>
          <t>Xác nhận phê duyệt từ Giám đốc vận hành.</t>
        </is>
      </c>
    </row>
    <row r="54" ht="20" customHeight="1">
      <c r="A54" s="29" t="n">
        <v>53</v>
      </c>
      <c r="B54" s="29" t="inlineStr">
        <is>
          <t>E113</t>
        </is>
      </c>
      <c r="C54" s="30" t="inlineStr">
        <is>
          <t>Employee_113</t>
        </is>
      </c>
      <c r="D54" s="29" t="inlineStr">
        <is>
          <t>Manager_D</t>
        </is>
      </c>
      <c r="E54" s="29" t="inlineStr">
        <is>
          <t>Operations</t>
        </is>
      </c>
      <c r="F54" s="31" t="n">
        <v>11327876</v>
      </c>
      <c r="G54" s="31" t="n">
        <v>959774</v>
      </c>
      <c r="H54" s="31" t="n">
        <v>1788435</v>
      </c>
      <c r="I54" s="31" t="n">
        <v>10499215</v>
      </c>
      <c r="J54" s="29" t="inlineStr">
        <is>
          <t>High Penalty</t>
        </is>
      </c>
      <c r="K54" s="29" t="inlineStr">
        <is>
          <t>Medium</t>
        </is>
      </c>
      <c r="L54" s="30" t="inlineStr">
        <is>
          <t>Mức phạt 1,788,435đ chiếm 15.8% lương cơ bản.</t>
        </is>
      </c>
      <c r="M54" s="30" t="inlineStr">
        <is>
          <t>Xem xét lỗi vận hành lặp lại để huấn luyện lại.</t>
        </is>
      </c>
    </row>
    <row r="55" ht="20" customHeight="1">
      <c r="A55" s="29" t="n">
        <v>54</v>
      </c>
      <c r="B55" s="29" t="inlineStr">
        <is>
          <t>E115</t>
        </is>
      </c>
      <c r="C55" s="30" t="inlineStr">
        <is>
          <t>Employee_115</t>
        </is>
      </c>
      <c r="D55" s="29" t="inlineStr">
        <is>
          <t>Manager_C</t>
        </is>
      </c>
      <c r="E55" s="29" t="inlineStr">
        <is>
          <t>Operations</t>
        </is>
      </c>
      <c r="F55" s="31" t="n">
        <v>21379164</v>
      </c>
      <c r="G55" s="31" t="n">
        <v>3489574</v>
      </c>
      <c r="H55" s="31" t="n">
        <v>1530108</v>
      </c>
      <c r="I55" s="31" t="n">
        <v>23338630</v>
      </c>
      <c r="J55" s="29" t="inlineStr">
        <is>
          <t>High Penalty</t>
        </is>
      </c>
      <c r="K55" s="29" t="inlineStr">
        <is>
          <t>Medium</t>
        </is>
      </c>
      <c r="L55" s="30" t="inlineStr">
        <is>
          <t>Mức phạt 1,530,108đ chiếm 7.2% lương cơ bản.</t>
        </is>
      </c>
      <c r="M55" s="30" t="inlineStr">
        <is>
          <t>Xem xét lỗi vận hành lặp lại để huấn luyện lại.</t>
        </is>
      </c>
    </row>
    <row r="56" ht="20" customHeight="1">
      <c r="A56" s="29" t="n">
        <v>55</v>
      </c>
      <c r="B56" s="29" t="inlineStr">
        <is>
          <t>E120</t>
        </is>
      </c>
      <c r="C56" s="30" t="inlineStr">
        <is>
          <t>Employee_120</t>
        </is>
      </c>
      <c r="D56" s="29" t="inlineStr">
        <is>
          <t>Manager_C</t>
        </is>
      </c>
      <c r="E56" s="29" t="inlineStr">
        <is>
          <t>Sales</t>
        </is>
      </c>
      <c r="F56" s="31" t="n">
        <v>21784450</v>
      </c>
      <c r="G56" s="31" t="n">
        <v>2966195</v>
      </c>
      <c r="H56" s="31" t="n">
        <v>1832087</v>
      </c>
      <c r="I56" s="31" t="n">
        <v>22918558</v>
      </c>
      <c r="J56" s="29" t="inlineStr">
        <is>
          <t>High Penalty</t>
        </is>
      </c>
      <c r="K56" s="29" t="inlineStr">
        <is>
          <t>Medium</t>
        </is>
      </c>
      <c r="L56" s="30" t="inlineStr">
        <is>
          <t>Mức phạt 1,832,087đ chiếm 8.4% lương cơ bản.</t>
        </is>
      </c>
      <c r="M56" s="30" t="inlineStr">
        <is>
          <t>Xem xét lỗi vận hành lặp lại để huấn luyện lại.</t>
        </is>
      </c>
    </row>
    <row r="57" ht="20" customHeight="1">
      <c r="A57" s="26" t="n">
        <v>56</v>
      </c>
      <c r="B57" s="26" t="inlineStr">
        <is>
          <t>E122</t>
        </is>
      </c>
      <c r="C57" s="27" t="inlineStr">
        <is>
          <t>Employee_122</t>
        </is>
      </c>
      <c r="D57" s="26" t="inlineStr">
        <is>
          <t>Manager_A</t>
        </is>
      </c>
      <c r="E57" s="26" t="inlineStr">
        <is>
          <t>HR</t>
        </is>
      </c>
      <c r="F57" s="28" t="n">
        <v>13191883</v>
      </c>
      <c r="G57" s="28" t="n">
        <v>4044897</v>
      </c>
      <c r="H57" s="28" t="n">
        <v>470275</v>
      </c>
      <c r="I57" s="28" t="n">
        <v>16766505</v>
      </c>
      <c r="J57" s="26" t="inlineStr">
        <is>
          <t>High Bonus</t>
        </is>
      </c>
      <c r="K57" s="26" t="inlineStr">
        <is>
          <t>Low</t>
        </is>
      </c>
      <c r="L57" s="27" t="inlineStr">
        <is>
          <t>Thưởng vượt mức trần (4,044,897đ) — Top hiệu suất.</t>
        </is>
      </c>
      <c r="M57" s="27" t="inlineStr">
        <is>
          <t>Xác nhận phê duyệt từ Giám đốc vận hành.</t>
        </is>
      </c>
    </row>
    <row r="58" ht="20" customHeight="1">
      <c r="A58" s="32" t="n">
        <v>57</v>
      </c>
      <c r="B58" s="32" t="inlineStr">
        <is>
          <t>E124</t>
        </is>
      </c>
      <c r="C58" s="33" t="inlineStr">
        <is>
          <t>Employee_124</t>
        </is>
      </c>
      <c r="D58" s="32" t="inlineStr">
        <is>
          <t>Manager_C</t>
        </is>
      </c>
      <c r="E58" s="32" t="inlineStr">
        <is>
          <t>HR</t>
        </is>
      </c>
      <c r="F58" s="34" t="n">
        <v>22398623</v>
      </c>
      <c r="G58" s="34" t="n">
        <v>4705721</v>
      </c>
      <c r="H58" s="34" t="n">
        <v>1609422</v>
      </c>
      <c r="I58" s="34" t="n">
        <v>25494922</v>
      </c>
      <c r="J58" s="32" t="inlineStr">
        <is>
          <t>Dual Anomaly</t>
        </is>
      </c>
      <c r="K58" s="32" t="inlineStr">
        <is>
          <t>High</t>
        </is>
      </c>
      <c r="L58" s="33" t="inlineStr">
        <is>
          <t>Vừa đạt thưởng cao vừa bị phạt nặng — Cần rà soát hiệu suất và quy trình.</t>
        </is>
      </c>
      <c r="M58" s="33" t="inlineStr">
        <is>
          <t>Manager đối chiếu bảng chấm công và KPI chi tiết.</t>
        </is>
      </c>
    </row>
    <row r="59" ht="20" customHeight="1">
      <c r="A59" s="29" t="n">
        <v>58</v>
      </c>
      <c r="B59" s="29" t="inlineStr">
        <is>
          <t>E127</t>
        </is>
      </c>
      <c r="C59" s="30" t="inlineStr">
        <is>
          <t>Employee_127</t>
        </is>
      </c>
      <c r="D59" s="29" t="inlineStr">
        <is>
          <t>Manager_B</t>
        </is>
      </c>
      <c r="E59" s="29" t="inlineStr">
        <is>
          <t>Operations</t>
        </is>
      </c>
      <c r="F59" s="31" t="n">
        <v>10334899</v>
      </c>
      <c r="G59" s="31" t="n">
        <v>1190130</v>
      </c>
      <c r="H59" s="31" t="n">
        <v>1553924</v>
      </c>
      <c r="I59" s="31" t="n">
        <v>9971105</v>
      </c>
      <c r="J59" s="29" t="inlineStr">
        <is>
          <t>High Penalty</t>
        </is>
      </c>
      <c r="K59" s="29" t="inlineStr">
        <is>
          <t>Medium</t>
        </is>
      </c>
      <c r="L59" s="30" t="inlineStr">
        <is>
          <t>Mức phạt 1,553,924đ chiếm 15.0% lương cơ bản.</t>
        </is>
      </c>
      <c r="M59" s="30" t="inlineStr">
        <is>
          <t>Xem xét lỗi vận hành lặp lại để huấn luyện lại.</t>
        </is>
      </c>
    </row>
    <row r="60" ht="20" customHeight="1">
      <c r="A60" s="29" t="n">
        <v>59</v>
      </c>
      <c r="B60" s="29" t="inlineStr">
        <is>
          <t>E130</t>
        </is>
      </c>
      <c r="C60" s="30" t="inlineStr">
        <is>
          <t>Employee_130</t>
        </is>
      </c>
      <c r="D60" s="29" t="inlineStr">
        <is>
          <t>Manager_C</t>
        </is>
      </c>
      <c r="E60" s="29" t="inlineStr">
        <is>
          <t>Finance</t>
        </is>
      </c>
      <c r="F60" s="31" t="n">
        <v>27045279</v>
      </c>
      <c r="G60" s="31" t="n">
        <v>712671</v>
      </c>
      <c r="H60" s="31" t="n">
        <v>1852502</v>
      </c>
      <c r="I60" s="31" t="n">
        <v>25905448</v>
      </c>
      <c r="J60" s="29" t="inlineStr">
        <is>
          <t>High Penalty</t>
        </is>
      </c>
      <c r="K60" s="29" t="inlineStr">
        <is>
          <t>Medium</t>
        </is>
      </c>
      <c r="L60" s="30" t="inlineStr">
        <is>
          <t>Mức phạt 1,852,502đ chiếm 6.8% lương cơ bản.</t>
        </is>
      </c>
      <c r="M60" s="30" t="inlineStr">
        <is>
          <t>Xem xét lỗi vận hành lặp lại để huấn luyện lại.</t>
        </is>
      </c>
    </row>
    <row r="61" ht="20" customHeight="1">
      <c r="A61" s="29" t="n">
        <v>60</v>
      </c>
      <c r="B61" s="29" t="inlineStr">
        <is>
          <t>E131</t>
        </is>
      </c>
      <c r="C61" s="30" t="inlineStr">
        <is>
          <t>Employee_131</t>
        </is>
      </c>
      <c r="D61" s="29" t="inlineStr">
        <is>
          <t>Manager_A</t>
        </is>
      </c>
      <c r="E61" s="29" t="inlineStr">
        <is>
          <t>HR</t>
        </is>
      </c>
      <c r="F61" s="31" t="n">
        <v>13281799</v>
      </c>
      <c r="G61" s="31" t="n">
        <v>417438</v>
      </c>
      <c r="H61" s="31" t="n">
        <v>1413414</v>
      </c>
      <c r="I61" s="31" t="n">
        <v>12285823</v>
      </c>
      <c r="J61" s="29" t="inlineStr">
        <is>
          <t>High Penalty</t>
        </is>
      </c>
      <c r="K61" s="29" t="inlineStr">
        <is>
          <t>Medium</t>
        </is>
      </c>
      <c r="L61" s="30" t="inlineStr">
        <is>
          <t>Mức phạt 1,413,414đ chiếm 10.6% lương cơ bản.</t>
        </is>
      </c>
      <c r="M61" s="30" t="inlineStr">
        <is>
          <t>Xem xét lỗi vận hành lặp lại để huấn luyện lại.</t>
        </is>
      </c>
    </row>
    <row r="62" ht="20" customHeight="1">
      <c r="A62" s="29" t="n">
        <v>61</v>
      </c>
      <c r="B62" s="29" t="inlineStr">
        <is>
          <t>E133</t>
        </is>
      </c>
      <c r="C62" s="30" t="inlineStr">
        <is>
          <t>Employee_133</t>
        </is>
      </c>
      <c r="D62" s="29" t="inlineStr">
        <is>
          <t>Manager_D</t>
        </is>
      </c>
      <c r="E62" s="29" t="inlineStr">
        <is>
          <t>Operations</t>
        </is>
      </c>
      <c r="F62" s="31" t="n">
        <v>17165958</v>
      </c>
      <c r="G62" s="31" t="n">
        <v>1808323</v>
      </c>
      <c r="H62" s="31" t="n">
        <v>1583230</v>
      </c>
      <c r="I62" s="31" t="n">
        <v>17391051</v>
      </c>
      <c r="J62" s="29" t="inlineStr">
        <is>
          <t>High Penalty</t>
        </is>
      </c>
      <c r="K62" s="29" t="inlineStr">
        <is>
          <t>Medium</t>
        </is>
      </c>
      <c r="L62" s="30" t="inlineStr">
        <is>
          <t>Mức phạt 1,583,230đ chiếm 9.2% lương cơ bản.</t>
        </is>
      </c>
      <c r="M62" s="30" t="inlineStr">
        <is>
          <t>Xem xét lỗi vận hành lặp lại để huấn luyện lại.</t>
        </is>
      </c>
    </row>
    <row r="63" ht="20" customHeight="1">
      <c r="A63" s="29" t="n">
        <v>62</v>
      </c>
      <c r="B63" s="29" t="inlineStr">
        <is>
          <t>E136</t>
        </is>
      </c>
      <c r="C63" s="30" t="inlineStr">
        <is>
          <t>Employee_136</t>
        </is>
      </c>
      <c r="D63" s="29" t="inlineStr">
        <is>
          <t>Manager_A</t>
        </is>
      </c>
      <c r="E63" s="29" t="inlineStr">
        <is>
          <t>Sales</t>
        </is>
      </c>
      <c r="F63" s="31" t="n">
        <v>14859301</v>
      </c>
      <c r="G63" s="31" t="n">
        <v>2528488</v>
      </c>
      <c r="H63" s="31" t="n">
        <v>1982488</v>
      </c>
      <c r="I63" s="31" t="n">
        <v>15405301</v>
      </c>
      <c r="J63" s="29" t="inlineStr">
        <is>
          <t>High Penalty</t>
        </is>
      </c>
      <c r="K63" s="29" t="inlineStr">
        <is>
          <t>Medium</t>
        </is>
      </c>
      <c r="L63" s="30" t="inlineStr">
        <is>
          <t>Mức phạt 1,982,488đ chiếm 13.3% lương cơ bản.</t>
        </is>
      </c>
      <c r="M63" s="30" t="inlineStr">
        <is>
          <t>Xem xét lỗi vận hành lặp lại để huấn luyện lại.</t>
        </is>
      </c>
    </row>
    <row r="64" ht="20" customHeight="1">
      <c r="A64" s="29" t="n">
        <v>63</v>
      </c>
      <c r="B64" s="29" t="inlineStr">
        <is>
          <t>E141</t>
        </is>
      </c>
      <c r="C64" s="30" t="inlineStr">
        <is>
          <t>Employee_141</t>
        </is>
      </c>
      <c r="D64" s="29" t="inlineStr">
        <is>
          <t>Manager_A</t>
        </is>
      </c>
      <c r="E64" s="29" t="inlineStr">
        <is>
          <t>Operations</t>
        </is>
      </c>
      <c r="F64" s="31" t="n">
        <v>10612635</v>
      </c>
      <c r="G64" s="31" t="n">
        <v>2626142</v>
      </c>
      <c r="H64" s="31" t="n">
        <v>1207454</v>
      </c>
      <c r="I64" s="31" t="n">
        <v>12031323</v>
      </c>
      <c r="J64" s="29" t="inlineStr">
        <is>
          <t>High Penalty</t>
        </is>
      </c>
      <c r="K64" s="29" t="inlineStr">
        <is>
          <t>Medium</t>
        </is>
      </c>
      <c r="L64" s="30" t="inlineStr">
        <is>
          <t>Mức phạt 1,207,454đ chiếm 11.4% lương cơ bản.</t>
        </is>
      </c>
      <c r="M64" s="30" t="inlineStr">
        <is>
          <t>Xem xét lỗi vận hành lặp lại để huấn luyện lại.</t>
        </is>
      </c>
    </row>
    <row r="65" ht="20" customHeight="1">
      <c r="A65" s="29" t="n">
        <v>64</v>
      </c>
      <c r="B65" s="29" t="inlineStr">
        <is>
          <t>E144</t>
        </is>
      </c>
      <c r="C65" s="30" t="inlineStr">
        <is>
          <t>Employee_144</t>
        </is>
      </c>
      <c r="D65" s="29" t="inlineStr">
        <is>
          <t>Manager_D</t>
        </is>
      </c>
      <c r="E65" s="29" t="inlineStr">
        <is>
          <t>Finance</t>
        </is>
      </c>
      <c r="F65" s="31" t="n">
        <v>10957148</v>
      </c>
      <c r="G65" s="31" t="n">
        <v>3663403</v>
      </c>
      <c r="H65" s="31" t="n">
        <v>1771012</v>
      </c>
      <c r="I65" s="31" t="n">
        <v>12849539</v>
      </c>
      <c r="J65" s="29" t="inlineStr">
        <is>
          <t>High Penalty</t>
        </is>
      </c>
      <c r="K65" s="29" t="inlineStr">
        <is>
          <t>Medium</t>
        </is>
      </c>
      <c r="L65" s="30" t="inlineStr">
        <is>
          <t>Mức phạt 1,771,012đ chiếm 16.2% lương cơ bản.</t>
        </is>
      </c>
      <c r="M65" s="30" t="inlineStr">
        <is>
          <t>Xem xét lỗi vận hành lặp lại để huấn luyện lại.</t>
        </is>
      </c>
    </row>
    <row r="66" ht="20" customHeight="1">
      <c r="A66" s="26" t="n">
        <v>65</v>
      </c>
      <c r="B66" s="26" t="inlineStr">
        <is>
          <t>E145</t>
        </is>
      </c>
      <c r="C66" s="27" t="inlineStr">
        <is>
          <t>Employee_145</t>
        </is>
      </c>
      <c r="D66" s="26" t="inlineStr">
        <is>
          <t>Manager_A</t>
        </is>
      </c>
      <c r="E66" s="26" t="inlineStr">
        <is>
          <t>HR</t>
        </is>
      </c>
      <c r="F66" s="28" t="n">
        <v>22618878</v>
      </c>
      <c r="G66" s="28" t="n">
        <v>4939810</v>
      </c>
      <c r="H66" s="28" t="n">
        <v>839804</v>
      </c>
      <c r="I66" s="28" t="n">
        <v>26718884</v>
      </c>
      <c r="J66" s="26" t="inlineStr">
        <is>
          <t>High Bonus</t>
        </is>
      </c>
      <c r="K66" s="26" t="inlineStr">
        <is>
          <t>Low</t>
        </is>
      </c>
      <c r="L66" s="27" t="inlineStr">
        <is>
          <t>Thưởng vượt mức trần (4,939,810đ) — Top hiệu suất.</t>
        </is>
      </c>
      <c r="M66" s="27" t="inlineStr">
        <is>
          <t>Xác nhận phê duyệt từ Giám đốc vận hành.</t>
        </is>
      </c>
    </row>
    <row r="67" ht="20" customHeight="1">
      <c r="A67" s="32" t="n">
        <v>66</v>
      </c>
      <c r="B67" s="32" t="inlineStr">
        <is>
          <t>E147</t>
        </is>
      </c>
      <c r="C67" s="33" t="inlineStr">
        <is>
          <t>Employee_147</t>
        </is>
      </c>
      <c r="D67" s="32" t="inlineStr">
        <is>
          <t>Manager_C</t>
        </is>
      </c>
      <c r="E67" s="32" t="inlineStr">
        <is>
          <t>HR</t>
        </is>
      </c>
      <c r="F67" s="34" t="n">
        <v>10562866</v>
      </c>
      <c r="G67" s="34" t="n">
        <v>4282244</v>
      </c>
      <c r="H67" s="34" t="n">
        <v>1327968</v>
      </c>
      <c r="I67" s="34" t="n">
        <v>13517142</v>
      </c>
      <c r="J67" s="32" t="inlineStr">
        <is>
          <t>Dual Anomaly</t>
        </is>
      </c>
      <c r="K67" s="32" t="inlineStr">
        <is>
          <t>High</t>
        </is>
      </c>
      <c r="L67" s="33" t="inlineStr">
        <is>
          <t>Vừa đạt thưởng cao vừa bị phạt nặng — Cần rà soát hiệu suất và quy trình.</t>
        </is>
      </c>
      <c r="M67" s="33" t="inlineStr">
        <is>
          <t>Manager đối chiếu bảng chấm công và KPI chi tiết.</t>
        </is>
      </c>
    </row>
    <row r="68" ht="20" customHeight="1">
      <c r="A68" s="29" t="n">
        <v>67</v>
      </c>
      <c r="B68" s="29" t="inlineStr">
        <is>
          <t>E148</t>
        </is>
      </c>
      <c r="C68" s="30" t="inlineStr">
        <is>
          <t>Employee_148</t>
        </is>
      </c>
      <c r="D68" s="29" t="inlineStr">
        <is>
          <t>Manager_A</t>
        </is>
      </c>
      <c r="E68" s="29" t="inlineStr">
        <is>
          <t>HR</t>
        </is>
      </c>
      <c r="F68" s="31" t="n">
        <v>19723088</v>
      </c>
      <c r="G68" s="31" t="n">
        <v>2945238</v>
      </c>
      <c r="H68" s="31" t="n">
        <v>1525424</v>
      </c>
      <c r="I68" s="31" t="n">
        <v>21142902</v>
      </c>
      <c r="J68" s="29" t="inlineStr">
        <is>
          <t>High Penalty</t>
        </is>
      </c>
      <c r="K68" s="29" t="inlineStr">
        <is>
          <t>Medium</t>
        </is>
      </c>
      <c r="L68" s="30" t="inlineStr">
        <is>
          <t>Mức phạt 1,525,424đ chiếm 7.7% lương cơ bản.</t>
        </is>
      </c>
      <c r="M68" s="30" t="inlineStr">
        <is>
          <t>Xem xét lỗi vận hành lặp lại để huấn luyện lại.</t>
        </is>
      </c>
    </row>
    <row r="69" ht="20" customHeight="1">
      <c r="A69" s="29" t="n">
        <v>68</v>
      </c>
      <c r="B69" s="29" t="inlineStr">
        <is>
          <t>E150</t>
        </is>
      </c>
      <c r="C69" s="30" t="inlineStr">
        <is>
          <t>Employee_150</t>
        </is>
      </c>
      <c r="D69" s="29" t="inlineStr">
        <is>
          <t>Manager_B</t>
        </is>
      </c>
      <c r="E69" s="29" t="inlineStr">
        <is>
          <t>HR</t>
        </is>
      </c>
      <c r="F69" s="31" t="n">
        <v>28213155</v>
      </c>
      <c r="G69" s="31" t="n">
        <v>1282364</v>
      </c>
      <c r="H69" s="31" t="n">
        <v>1594287</v>
      </c>
      <c r="I69" s="31" t="n">
        <v>27901232</v>
      </c>
      <c r="J69" s="29" t="inlineStr">
        <is>
          <t>High Penalty</t>
        </is>
      </c>
      <c r="K69" s="29" t="inlineStr">
        <is>
          <t>Medium</t>
        </is>
      </c>
      <c r="L69" s="30" t="inlineStr">
        <is>
          <t>Mức phạt 1,594,287đ chiếm 5.7% lương cơ bản.</t>
        </is>
      </c>
      <c r="M69" s="30" t="inlineStr">
        <is>
          <t>Xem xét lỗi vận hành lặp lại để huấn luyện lại.</t>
        </is>
      </c>
    </row>
    <row r="70" ht="20" customHeight="1">
      <c r="A70" s="26" t="n">
        <v>69</v>
      </c>
      <c r="B70" s="26" t="inlineStr">
        <is>
          <t>E151</t>
        </is>
      </c>
      <c r="C70" s="27" t="inlineStr">
        <is>
          <t>Employee_151</t>
        </is>
      </c>
      <c r="D70" s="26" t="inlineStr">
        <is>
          <t>Manager_A</t>
        </is>
      </c>
      <c r="E70" s="26" t="inlineStr">
        <is>
          <t>HR</t>
        </is>
      </c>
      <c r="F70" s="28" t="n">
        <v>29070464</v>
      </c>
      <c r="G70" s="28" t="n">
        <v>4144954</v>
      </c>
      <c r="H70" s="28" t="n">
        <v>972980</v>
      </c>
      <c r="I70" s="28" t="n">
        <v>32242438</v>
      </c>
      <c r="J70" s="26" t="inlineStr">
        <is>
          <t>High Bonus</t>
        </is>
      </c>
      <c r="K70" s="26" t="inlineStr">
        <is>
          <t>Low</t>
        </is>
      </c>
      <c r="L70" s="27" t="inlineStr">
        <is>
          <t>Thưởng vượt mức trần (4,144,954đ) — Top hiệu suất.</t>
        </is>
      </c>
      <c r="M70" s="27" t="inlineStr">
        <is>
          <t>Xác nhận phê duyệt từ Giám đốc vận hành.</t>
        </is>
      </c>
    </row>
    <row r="71" ht="20" customHeight="1">
      <c r="A71" s="26" t="n">
        <v>70</v>
      </c>
      <c r="B71" s="26" t="inlineStr">
        <is>
          <t>E157</t>
        </is>
      </c>
      <c r="C71" s="27" t="inlineStr">
        <is>
          <t>Employee_157</t>
        </is>
      </c>
      <c r="D71" s="26" t="inlineStr">
        <is>
          <t>Manager_A</t>
        </is>
      </c>
      <c r="E71" s="26" t="inlineStr">
        <is>
          <t>Operations</t>
        </is>
      </c>
      <c r="F71" s="28" t="n">
        <v>23526026</v>
      </c>
      <c r="G71" s="28" t="n">
        <v>4868155</v>
      </c>
      <c r="H71" s="28" t="n">
        <v>1162485</v>
      </c>
      <c r="I71" s="28" t="n">
        <v>27231696</v>
      </c>
      <c r="J71" s="26" t="inlineStr">
        <is>
          <t>High Bonus</t>
        </is>
      </c>
      <c r="K71" s="26" t="inlineStr">
        <is>
          <t>Low</t>
        </is>
      </c>
      <c r="L71" s="27" t="inlineStr">
        <is>
          <t>Thưởng vượt mức trần (4,868,155đ) — Top hiệu suất.</t>
        </is>
      </c>
      <c r="M71" s="27" t="inlineStr">
        <is>
          <t>Xác nhận phê duyệt từ Giám đốc vận hành.</t>
        </is>
      </c>
    </row>
    <row r="72" ht="20" customHeight="1">
      <c r="A72" s="26" t="n">
        <v>71</v>
      </c>
      <c r="B72" s="26" t="inlineStr">
        <is>
          <t>E161</t>
        </is>
      </c>
      <c r="C72" s="27" t="inlineStr">
        <is>
          <t>Employee_161</t>
        </is>
      </c>
      <c r="D72" s="26" t="inlineStr">
        <is>
          <t>Manager_B</t>
        </is>
      </c>
      <c r="E72" s="26" t="inlineStr">
        <is>
          <t>Operations</t>
        </is>
      </c>
      <c r="F72" s="28" t="n">
        <v>22744548</v>
      </c>
      <c r="G72" s="28" t="n">
        <v>4396205</v>
      </c>
      <c r="H72" s="28" t="n">
        <v>1096282</v>
      </c>
      <c r="I72" s="28" t="n">
        <v>26044471</v>
      </c>
      <c r="J72" s="26" t="inlineStr">
        <is>
          <t>High Bonus</t>
        </is>
      </c>
      <c r="K72" s="26" t="inlineStr">
        <is>
          <t>Low</t>
        </is>
      </c>
      <c r="L72" s="27" t="inlineStr">
        <is>
          <t>Thưởng vượt mức trần (4,396,205đ) — Top hiệu suất.</t>
        </is>
      </c>
      <c r="M72" s="27" t="inlineStr">
        <is>
          <t>Xác nhận phê duyệt từ Giám đốc vận hành.</t>
        </is>
      </c>
    </row>
    <row r="73" ht="20" customHeight="1">
      <c r="A73" s="29" t="n">
        <v>72</v>
      </c>
      <c r="B73" s="29" t="inlineStr">
        <is>
          <t>E163</t>
        </is>
      </c>
      <c r="C73" s="30" t="inlineStr">
        <is>
          <t>Employee_163</t>
        </is>
      </c>
      <c r="D73" s="29" t="inlineStr">
        <is>
          <t>Manager_D</t>
        </is>
      </c>
      <c r="E73" s="29" t="inlineStr">
        <is>
          <t>Finance</t>
        </is>
      </c>
      <c r="F73" s="31" t="n">
        <v>28061720</v>
      </c>
      <c r="G73" s="31" t="n">
        <v>439273</v>
      </c>
      <c r="H73" s="31" t="n">
        <v>1655128</v>
      </c>
      <c r="I73" s="31" t="n">
        <v>26845865</v>
      </c>
      <c r="J73" s="29" t="inlineStr">
        <is>
          <t>High Penalty</t>
        </is>
      </c>
      <c r="K73" s="29" t="inlineStr">
        <is>
          <t>Medium</t>
        </is>
      </c>
      <c r="L73" s="30" t="inlineStr">
        <is>
          <t>Mức phạt 1,655,128đ chiếm 5.9% lương cơ bản.</t>
        </is>
      </c>
      <c r="M73" s="30" t="inlineStr">
        <is>
          <t>Xem xét lỗi vận hành lặp lại để huấn luyện lại.</t>
        </is>
      </c>
    </row>
    <row r="74" ht="20" customHeight="1">
      <c r="A74" s="26" t="n">
        <v>73</v>
      </c>
      <c r="B74" s="26" t="inlineStr">
        <is>
          <t>E168</t>
        </is>
      </c>
      <c r="C74" s="27" t="inlineStr">
        <is>
          <t>Employee_168</t>
        </is>
      </c>
      <c r="D74" s="26" t="inlineStr">
        <is>
          <t>Manager_D</t>
        </is>
      </c>
      <c r="E74" s="26" t="inlineStr">
        <is>
          <t>Finance</t>
        </is>
      </c>
      <c r="F74" s="28" t="n">
        <v>12288047</v>
      </c>
      <c r="G74" s="28" t="n">
        <v>4415707</v>
      </c>
      <c r="H74" s="28" t="n">
        <v>195985</v>
      </c>
      <c r="I74" s="28" t="n">
        <v>16507769</v>
      </c>
      <c r="J74" s="26" t="inlineStr">
        <is>
          <t>High Bonus</t>
        </is>
      </c>
      <c r="K74" s="26" t="inlineStr">
        <is>
          <t>Low</t>
        </is>
      </c>
      <c r="L74" s="27" t="inlineStr">
        <is>
          <t>Thưởng vượt mức trần (4,415,707đ) — Top hiệu suất.</t>
        </is>
      </c>
      <c r="M74" s="27" t="inlineStr">
        <is>
          <t>Xác nhận phê duyệt từ Giám đốc vận hành.</t>
        </is>
      </c>
    </row>
    <row r="75" ht="20" customHeight="1">
      <c r="A75" s="26" t="n">
        <v>74</v>
      </c>
      <c r="B75" s="26" t="inlineStr">
        <is>
          <t>E170</t>
        </is>
      </c>
      <c r="C75" s="27" t="inlineStr">
        <is>
          <t>Employee_170</t>
        </is>
      </c>
      <c r="D75" s="26" t="inlineStr">
        <is>
          <t>Manager_B</t>
        </is>
      </c>
      <c r="E75" s="26" t="inlineStr">
        <is>
          <t>HR</t>
        </is>
      </c>
      <c r="F75" s="28" t="n">
        <v>19466634</v>
      </c>
      <c r="G75" s="28" t="n">
        <v>4079136</v>
      </c>
      <c r="H75" s="28" t="n">
        <v>402664</v>
      </c>
      <c r="I75" s="28" t="n">
        <v>23143106</v>
      </c>
      <c r="J75" s="26" t="inlineStr">
        <is>
          <t>High Bonus</t>
        </is>
      </c>
      <c r="K75" s="26" t="inlineStr">
        <is>
          <t>Low</t>
        </is>
      </c>
      <c r="L75" s="27" t="inlineStr">
        <is>
          <t>Thưởng vượt mức trần (4,079,136đ) — Top hiệu suất.</t>
        </is>
      </c>
      <c r="M75" s="27" t="inlineStr">
        <is>
          <t>Xác nhận phê duyệt từ Giám đốc vận hành.</t>
        </is>
      </c>
    </row>
    <row r="76" ht="20" customHeight="1">
      <c r="A76" s="29" t="n">
        <v>75</v>
      </c>
      <c r="B76" s="29" t="inlineStr">
        <is>
          <t>E173</t>
        </is>
      </c>
      <c r="C76" s="30" t="inlineStr">
        <is>
          <t>Employee_173</t>
        </is>
      </c>
      <c r="D76" s="29" t="inlineStr">
        <is>
          <t>Manager_D</t>
        </is>
      </c>
      <c r="E76" s="29" t="inlineStr">
        <is>
          <t>HR</t>
        </is>
      </c>
      <c r="F76" s="31" t="n">
        <v>13444113</v>
      </c>
      <c r="G76" s="31" t="n">
        <v>1517045</v>
      </c>
      <c r="H76" s="31" t="n">
        <v>1743456</v>
      </c>
      <c r="I76" s="31" t="n">
        <v>13217702</v>
      </c>
      <c r="J76" s="29" t="inlineStr">
        <is>
          <t>High Penalty</t>
        </is>
      </c>
      <c r="K76" s="29" t="inlineStr">
        <is>
          <t>Medium</t>
        </is>
      </c>
      <c r="L76" s="30" t="inlineStr">
        <is>
          <t>Mức phạt 1,743,456đ chiếm 13.0% lương cơ bản.</t>
        </is>
      </c>
      <c r="M76" s="30" t="inlineStr">
        <is>
          <t>Xem xét lỗi vận hành lặp lại để huấn luyện lại.</t>
        </is>
      </c>
    </row>
    <row r="77" ht="20" customHeight="1">
      <c r="A77" s="29" t="n">
        <v>76</v>
      </c>
      <c r="B77" s="29" t="inlineStr">
        <is>
          <t>E175</t>
        </is>
      </c>
      <c r="C77" s="30" t="inlineStr">
        <is>
          <t>Employee_175</t>
        </is>
      </c>
      <c r="D77" s="29" t="inlineStr">
        <is>
          <t>Manager_B</t>
        </is>
      </c>
      <c r="E77" s="29" t="inlineStr">
        <is>
          <t>Operations</t>
        </is>
      </c>
      <c r="F77" s="31" t="n">
        <v>28488182</v>
      </c>
      <c r="G77" s="31" t="n">
        <v>2390148</v>
      </c>
      <c r="H77" s="31" t="n">
        <v>1577878</v>
      </c>
      <c r="I77" s="31" t="n">
        <v>29300452</v>
      </c>
      <c r="J77" s="29" t="inlineStr">
        <is>
          <t>High Penalty</t>
        </is>
      </c>
      <c r="K77" s="29" t="inlineStr">
        <is>
          <t>Medium</t>
        </is>
      </c>
      <c r="L77" s="30" t="inlineStr">
        <is>
          <t>Mức phạt 1,577,878đ chiếm 5.5% lương cơ bản.</t>
        </is>
      </c>
      <c r="M77" s="30" t="inlineStr">
        <is>
          <t>Xem xét lỗi vận hành lặp lại để huấn luyện lại.</t>
        </is>
      </c>
    </row>
    <row r="78" ht="20" customHeight="1">
      <c r="A78" s="26" t="n">
        <v>77</v>
      </c>
      <c r="B78" s="26" t="inlineStr">
        <is>
          <t>E177</t>
        </is>
      </c>
      <c r="C78" s="27" t="inlineStr">
        <is>
          <t>Employee_177</t>
        </is>
      </c>
      <c r="D78" s="26" t="inlineStr">
        <is>
          <t>Manager_D</t>
        </is>
      </c>
      <c r="E78" s="26" t="inlineStr">
        <is>
          <t>HR</t>
        </is>
      </c>
      <c r="F78" s="28" t="n">
        <v>20342694</v>
      </c>
      <c r="G78" s="28" t="n">
        <v>4785024</v>
      </c>
      <c r="H78" s="28" t="n">
        <v>923999</v>
      </c>
      <c r="I78" s="28" t="n">
        <v>24203719</v>
      </c>
      <c r="J78" s="26" t="inlineStr">
        <is>
          <t>High Bonus</t>
        </is>
      </c>
      <c r="K78" s="26" t="inlineStr">
        <is>
          <t>Low</t>
        </is>
      </c>
      <c r="L78" s="27" t="inlineStr">
        <is>
          <t>Thưởng vượt mức trần (4,785,024đ) — Top hiệu suất.</t>
        </is>
      </c>
      <c r="M78" s="27" t="inlineStr">
        <is>
          <t>Xác nhận phê duyệt từ Giám đốc vận hành.</t>
        </is>
      </c>
    </row>
    <row r="79" ht="20" customHeight="1">
      <c r="A79" s="26" t="n">
        <v>78</v>
      </c>
      <c r="B79" s="26" t="inlineStr">
        <is>
          <t>E178</t>
        </is>
      </c>
      <c r="C79" s="27" t="inlineStr">
        <is>
          <t>Employee_178</t>
        </is>
      </c>
      <c r="D79" s="26" t="inlineStr">
        <is>
          <t>Manager_D</t>
        </is>
      </c>
      <c r="E79" s="26" t="inlineStr">
        <is>
          <t>Finance</t>
        </is>
      </c>
      <c r="F79" s="28" t="n">
        <v>20813512</v>
      </c>
      <c r="G79" s="28" t="n">
        <v>4218687</v>
      </c>
      <c r="H79" s="28" t="n">
        <v>1106163</v>
      </c>
      <c r="I79" s="28" t="n">
        <v>23926036</v>
      </c>
      <c r="J79" s="26" t="inlineStr">
        <is>
          <t>High Bonus</t>
        </is>
      </c>
      <c r="K79" s="26" t="inlineStr">
        <is>
          <t>Low</t>
        </is>
      </c>
      <c r="L79" s="27" t="inlineStr">
        <is>
          <t>Thưởng vượt mức trần (4,218,687đ) — Top hiệu suất.</t>
        </is>
      </c>
      <c r="M79" s="27" t="inlineStr">
        <is>
          <t>Xác nhận phê duyệt từ Giám đốc vận hành.</t>
        </is>
      </c>
    </row>
    <row r="80" ht="20" customHeight="1">
      <c r="A80" s="29" t="n">
        <v>79</v>
      </c>
      <c r="B80" s="29" t="inlineStr">
        <is>
          <t>E179</t>
        </is>
      </c>
      <c r="C80" s="30" t="inlineStr">
        <is>
          <t>Employee_179</t>
        </is>
      </c>
      <c r="D80" s="29" t="inlineStr">
        <is>
          <t>Manager_D</t>
        </is>
      </c>
      <c r="E80" s="29" t="inlineStr">
        <is>
          <t>HR</t>
        </is>
      </c>
      <c r="F80" s="31" t="n">
        <v>14700743</v>
      </c>
      <c r="G80" s="31" t="n">
        <v>1160971</v>
      </c>
      <c r="H80" s="31" t="n">
        <v>1830817</v>
      </c>
      <c r="I80" s="31" t="n">
        <v>14030897</v>
      </c>
      <c r="J80" s="29" t="inlineStr">
        <is>
          <t>High Penalty</t>
        </is>
      </c>
      <c r="K80" s="29" t="inlineStr">
        <is>
          <t>Medium</t>
        </is>
      </c>
      <c r="L80" s="30" t="inlineStr">
        <is>
          <t>Mức phạt 1,830,817đ chiếm 12.5% lương cơ bản.</t>
        </is>
      </c>
      <c r="M80" s="30" t="inlineStr">
        <is>
          <t>Xem xét lỗi vận hành lặp lại để huấn luyện lại.</t>
        </is>
      </c>
    </row>
    <row r="81" ht="20" customHeight="1">
      <c r="A81" s="32" t="n">
        <v>80</v>
      </c>
      <c r="B81" s="32" t="inlineStr">
        <is>
          <t>E180</t>
        </is>
      </c>
      <c r="C81" s="33" t="inlineStr">
        <is>
          <t>Employee_180</t>
        </is>
      </c>
      <c r="D81" s="32" t="inlineStr">
        <is>
          <t>Manager_C</t>
        </is>
      </c>
      <c r="E81" s="32" t="inlineStr">
        <is>
          <t>Sales</t>
        </is>
      </c>
      <c r="F81" s="34" t="n">
        <v>29514398</v>
      </c>
      <c r="G81" s="34" t="n">
        <v>4031486</v>
      </c>
      <c r="H81" s="34" t="n">
        <v>1833156</v>
      </c>
      <c r="I81" s="34" t="n">
        <v>31712728</v>
      </c>
      <c r="J81" s="32" t="inlineStr">
        <is>
          <t>Dual Anomaly</t>
        </is>
      </c>
      <c r="K81" s="32" t="inlineStr">
        <is>
          <t>High</t>
        </is>
      </c>
      <c r="L81" s="33" t="inlineStr">
        <is>
          <t>Vừa đạt thưởng cao vừa bị phạt nặng — Cần rà soát hiệu suất và quy trình.</t>
        </is>
      </c>
      <c r="M81" s="33" t="inlineStr">
        <is>
          <t>Manager đối chiếu bảng chấm công và KPI chi tiết.</t>
        </is>
      </c>
    </row>
    <row r="82" ht="20" customHeight="1">
      <c r="A82" s="29" t="n">
        <v>81</v>
      </c>
      <c r="B82" s="29" t="inlineStr">
        <is>
          <t>E182</t>
        </is>
      </c>
      <c r="C82" s="30" t="inlineStr">
        <is>
          <t>Employee_182</t>
        </is>
      </c>
      <c r="D82" s="29" t="inlineStr">
        <is>
          <t>Manager_A</t>
        </is>
      </c>
      <c r="E82" s="29" t="inlineStr">
        <is>
          <t>HR</t>
        </is>
      </c>
      <c r="F82" s="31" t="n">
        <v>17153357</v>
      </c>
      <c r="G82" s="31" t="n">
        <v>3769162</v>
      </c>
      <c r="H82" s="31" t="n">
        <v>1898564</v>
      </c>
      <c r="I82" s="31" t="n">
        <v>19023955</v>
      </c>
      <c r="J82" s="29" t="inlineStr">
        <is>
          <t>High Penalty</t>
        </is>
      </c>
      <c r="K82" s="29" t="inlineStr">
        <is>
          <t>Medium</t>
        </is>
      </c>
      <c r="L82" s="30" t="inlineStr">
        <is>
          <t>Mức phạt 1,898,564đ chiếm 11.1% lương cơ bản.</t>
        </is>
      </c>
      <c r="M82" s="30" t="inlineStr">
        <is>
          <t>Xem xét lỗi vận hành lặp lại để huấn luyện lại.</t>
        </is>
      </c>
    </row>
    <row r="83" ht="20" customHeight="1">
      <c r="A83" s="29" t="n">
        <v>82</v>
      </c>
      <c r="B83" s="29" t="inlineStr">
        <is>
          <t>E183</t>
        </is>
      </c>
      <c r="C83" s="30" t="inlineStr">
        <is>
          <t>Employee_183</t>
        </is>
      </c>
      <c r="D83" s="29" t="inlineStr">
        <is>
          <t>Manager_B</t>
        </is>
      </c>
      <c r="E83" s="29" t="inlineStr">
        <is>
          <t>Operations</t>
        </is>
      </c>
      <c r="F83" s="31" t="n">
        <v>11077396</v>
      </c>
      <c r="G83" s="31" t="n">
        <v>1862589</v>
      </c>
      <c r="H83" s="31" t="n">
        <v>1712750</v>
      </c>
      <c r="I83" s="31" t="n">
        <v>11227235</v>
      </c>
      <c r="J83" s="29" t="inlineStr">
        <is>
          <t>High Penalty</t>
        </is>
      </c>
      <c r="K83" s="29" t="inlineStr">
        <is>
          <t>Medium</t>
        </is>
      </c>
      <c r="L83" s="30" t="inlineStr">
        <is>
          <t>Mức phạt 1,712,750đ chiếm 15.5% lương cơ bản.</t>
        </is>
      </c>
      <c r="M83" s="30" t="inlineStr">
        <is>
          <t>Xem xét lỗi vận hành lặp lại để huấn luyện lại.</t>
        </is>
      </c>
    </row>
    <row r="84" ht="20" customHeight="1">
      <c r="A84" s="29" t="n">
        <v>83</v>
      </c>
      <c r="B84" s="29" t="inlineStr">
        <is>
          <t>E186</t>
        </is>
      </c>
      <c r="C84" s="30" t="inlineStr">
        <is>
          <t>Employee_186</t>
        </is>
      </c>
      <c r="D84" s="29" t="inlineStr">
        <is>
          <t>Manager_C</t>
        </is>
      </c>
      <c r="E84" s="29" t="inlineStr">
        <is>
          <t>HR</t>
        </is>
      </c>
      <c r="F84" s="31" t="n">
        <v>8945817</v>
      </c>
      <c r="G84" s="31" t="n">
        <v>2673322</v>
      </c>
      <c r="H84" s="31" t="n">
        <v>1952083</v>
      </c>
      <c r="I84" s="31" t="n">
        <v>9667056</v>
      </c>
      <c r="J84" s="29" t="inlineStr">
        <is>
          <t>High Penalty</t>
        </is>
      </c>
      <c r="K84" s="29" t="inlineStr">
        <is>
          <t>Medium</t>
        </is>
      </c>
      <c r="L84" s="30" t="inlineStr">
        <is>
          <t>Mức phạt 1,952,083đ chiếm 21.8% lương cơ bản.</t>
        </is>
      </c>
      <c r="M84" s="30" t="inlineStr">
        <is>
          <t>Xem xét lỗi vận hành lặp lại để huấn luyện lại.</t>
        </is>
      </c>
    </row>
    <row r="85" ht="20" customHeight="1">
      <c r="A85" s="32" t="n">
        <v>84</v>
      </c>
      <c r="B85" s="32" t="inlineStr">
        <is>
          <t>E192</t>
        </is>
      </c>
      <c r="C85" s="33" t="inlineStr">
        <is>
          <t>Employee_192</t>
        </is>
      </c>
      <c r="D85" s="32" t="inlineStr">
        <is>
          <t>Manager_D</t>
        </is>
      </c>
      <c r="E85" s="32" t="inlineStr">
        <is>
          <t>Sales</t>
        </is>
      </c>
      <c r="F85" s="34" t="n">
        <v>11719773</v>
      </c>
      <c r="G85" s="34" t="n">
        <v>4192871</v>
      </c>
      <c r="H85" s="34" t="n">
        <v>1251452</v>
      </c>
      <c r="I85" s="34" t="n">
        <v>14661192</v>
      </c>
      <c r="J85" s="32" t="inlineStr">
        <is>
          <t>Dual Anomaly</t>
        </is>
      </c>
      <c r="K85" s="32" t="inlineStr">
        <is>
          <t>High</t>
        </is>
      </c>
      <c r="L85" s="33" t="inlineStr">
        <is>
          <t>Vừa đạt thưởng cao vừa bị phạt nặng — Cần rà soát hiệu suất và quy trình.</t>
        </is>
      </c>
      <c r="M85" s="33" t="inlineStr">
        <is>
          <t>Manager đối chiếu bảng chấm công và KPI chi tiết.</t>
        </is>
      </c>
    </row>
    <row r="86" ht="20" customHeight="1">
      <c r="A86" s="26" t="n">
        <v>85</v>
      </c>
      <c r="B86" s="26" t="inlineStr">
        <is>
          <t>E194</t>
        </is>
      </c>
      <c r="C86" s="27" t="inlineStr">
        <is>
          <t>Employee_194</t>
        </is>
      </c>
      <c r="D86" s="26" t="inlineStr">
        <is>
          <t>Manager_A</t>
        </is>
      </c>
      <c r="E86" s="26" t="inlineStr">
        <is>
          <t>Finance</t>
        </is>
      </c>
      <c r="F86" s="28" t="n">
        <v>16071996</v>
      </c>
      <c r="G86" s="28" t="n">
        <v>4787074</v>
      </c>
      <c r="H86" s="28" t="n">
        <v>873605</v>
      </c>
      <c r="I86" s="28" t="n">
        <v>19985465</v>
      </c>
      <c r="J86" s="26" t="inlineStr">
        <is>
          <t>High Bonus</t>
        </is>
      </c>
      <c r="K86" s="26" t="inlineStr">
        <is>
          <t>Low</t>
        </is>
      </c>
      <c r="L86" s="27" t="inlineStr">
        <is>
          <t>Thưởng vượt mức trần (4,787,074đ) — Top hiệu suất.</t>
        </is>
      </c>
      <c r="M86" s="27" t="inlineStr">
        <is>
          <t>Xác nhận phê duyệt từ Giám đốc vận hành.</t>
        </is>
      </c>
    </row>
    <row r="87" ht="20" customHeight="1">
      <c r="A87" s="29" t="n">
        <v>86</v>
      </c>
      <c r="B87" s="29" t="inlineStr">
        <is>
          <t>E198</t>
        </is>
      </c>
      <c r="C87" s="30" t="inlineStr">
        <is>
          <t>Employee_198</t>
        </is>
      </c>
      <c r="D87" s="29" t="inlineStr">
        <is>
          <t>Manager_A</t>
        </is>
      </c>
      <c r="E87" s="29" t="inlineStr">
        <is>
          <t>Finance</t>
        </is>
      </c>
      <c r="F87" s="31" t="n">
        <v>16090843</v>
      </c>
      <c r="G87" s="31" t="n">
        <v>869595</v>
      </c>
      <c r="H87" s="31" t="n">
        <v>1617955</v>
      </c>
      <c r="I87" s="31" t="n">
        <v>15342483</v>
      </c>
      <c r="J87" s="29" t="inlineStr">
        <is>
          <t>High Penalty</t>
        </is>
      </c>
      <c r="K87" s="29" t="inlineStr">
        <is>
          <t>Medium</t>
        </is>
      </c>
      <c r="L87" s="30" t="inlineStr">
        <is>
          <t>Mức phạt 1,617,955đ chiếm 10.1% lương cơ bản.</t>
        </is>
      </c>
      <c r="M87" s="30" t="inlineStr">
        <is>
          <t>Xem xét lỗi vận hành lặp lại để huấn luyện lại.</t>
        </is>
      </c>
    </row>
    <row r="88" ht="20" customHeight="1">
      <c r="A88" s="29" t="n">
        <v>87</v>
      </c>
      <c r="B88" s="29" t="inlineStr">
        <is>
          <t>E199</t>
        </is>
      </c>
      <c r="C88" s="30" t="inlineStr">
        <is>
          <t>Employee_199</t>
        </is>
      </c>
      <c r="D88" s="29" t="inlineStr">
        <is>
          <t>Manager_C</t>
        </is>
      </c>
      <c r="E88" s="29" t="inlineStr">
        <is>
          <t>HR</t>
        </is>
      </c>
      <c r="F88" s="31" t="n">
        <v>9487658</v>
      </c>
      <c r="G88" s="31" t="n">
        <v>2955298</v>
      </c>
      <c r="H88" s="31" t="n">
        <v>1145073</v>
      </c>
      <c r="I88" s="31" t="n">
        <v>11297883</v>
      </c>
      <c r="J88" s="29" t="inlineStr">
        <is>
          <t>High Penalty</t>
        </is>
      </c>
      <c r="K88" s="29" t="inlineStr">
        <is>
          <t>Medium</t>
        </is>
      </c>
      <c r="L88" s="30" t="inlineStr">
        <is>
          <t>Mức phạt 1,145,073đ chiếm 12.1% lương cơ bản.</t>
        </is>
      </c>
      <c r="M88" s="30" t="inlineStr">
        <is>
          <t>Xem xét lỗi vận hành lặp lại để huấn luyện lại.</t>
        </is>
      </c>
    </row>
    <row r="89" ht="20" customHeight="1">
      <c r="A89" s="26" t="n">
        <v>88</v>
      </c>
      <c r="B89" s="26" t="inlineStr">
        <is>
          <t>E200</t>
        </is>
      </c>
      <c r="C89" s="27" t="inlineStr">
        <is>
          <t>Employee_200</t>
        </is>
      </c>
      <c r="D89" s="26" t="inlineStr">
        <is>
          <t>Manager_C</t>
        </is>
      </c>
      <c r="E89" s="26" t="inlineStr">
        <is>
          <t>HR</t>
        </is>
      </c>
      <c r="F89" s="28" t="n">
        <v>23590157</v>
      </c>
      <c r="G89" s="28" t="n">
        <v>4014210</v>
      </c>
      <c r="H89" s="28" t="n">
        <v>1324846</v>
      </c>
      <c r="I89" s="28" t="n">
        <v>26279521</v>
      </c>
      <c r="J89" s="26" t="inlineStr">
        <is>
          <t>High Bonus</t>
        </is>
      </c>
      <c r="K89" s="26" t="inlineStr">
        <is>
          <t>Low</t>
        </is>
      </c>
      <c r="L89" s="27" t="inlineStr">
        <is>
          <t>Thưởng vượt mức trần (4,014,210đ) — Top hiệu suất.</t>
        </is>
      </c>
      <c r="M89" s="27" t="inlineStr">
        <is>
          <t>Xác nhận phê duyệt từ Giám đốc vận hành.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2026-09-09T14:51:20Z</dcterms:created>
  <dcterms:modified xsi:type="dcterms:W3CDTF">2026-09-09T14:51:21Z</dcterms:modified>
</cp:coreProperties>
</file>